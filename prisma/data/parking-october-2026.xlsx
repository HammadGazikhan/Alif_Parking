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alif-my.sharepoint.com/personal/aman_s_alifconsulting_com/Documents/"/>
    </mc:Choice>
  </mc:AlternateContent>
  <xr:revisionPtr revIDLastSave="0" documentId="8_{692EB281-9B86-4178-94B5-5317A3815E0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rking October 2026" sheetId="1" r:id="rId1"/>
  </sheets>
  <definedNames>
    <definedName name="_xlnm._FilterDatabase" localSheetId="0" hidden="1">'Parking October 2026'!#REF!</definedName>
    <definedName name="kabir">'Parking October 2026'!$A$20</definedName>
    <definedName name="uzma">'Parking October 2026'!$C$30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 a="1"/>
  <c r="A12" i="1" a="1"/>
  <c r="A14" i="1" a="1"/>
  <c r="A15" i="1" a="1"/>
  <c r="A16" i="1" a="1"/>
  <c r="A17" i="1" a="1"/>
  <c r="A18" i="1" a="1"/>
  <c r="A19" i="1" a="1"/>
  <c r="A20" i="1" a="1"/>
  <c r="A21" i="1" a="1"/>
  <c r="A22" i="1" a="1"/>
  <c r="A23" i="1" a="1"/>
  <c r="A24" i="1" a="1"/>
  <c r="A25" i="1" a="1"/>
  <c r="A26" i="1" a="1"/>
  <c r="A27" i="1" a="1"/>
  <c r="A29" i="1" a="1"/>
  <c r="A30" i="1" a="1"/>
  <c r="A32" i="1" a="1"/>
  <c r="A34" i="1" a="1"/>
  <c r="A35" i="1" a="1"/>
  <c r="A36" i="1" a="1"/>
  <c r="A37" i="1" a="1"/>
  <c r="A38" i="1" a="1"/>
  <c r="A41" i="1" a="1"/>
  <c r="A42" i="1" a="1"/>
  <c r="A43" i="1" a="1"/>
  <c r="A44" i="1" a="1"/>
  <c r="A45" i="1" a="1"/>
  <c r="A46" i="1" a="1"/>
  <c r="A47" i="1" a="1"/>
  <c r="A48" i="1" a="1"/>
  <c r="A49" i="1" a="1"/>
  <c r="A51" i="1" a="1"/>
  <c r="A52" i="1" a="1"/>
  <c r="A53" i="1" a="1"/>
  <c r="A54" i="1" a="1"/>
  <c r="A55" i="1" a="1"/>
  <c r="A56" i="1" a="1"/>
  <c r="A57" i="1" a="1"/>
  <c r="A58" i="1" a="1"/>
  <c r="A59" i="1" a="1"/>
  <c r="A60" i="1" a="1"/>
  <c r="A61" i="1" a="1"/>
  <c r="A62" i="1" a="1"/>
  <c r="A63" i="1" a="1"/>
  <c r="A65" i="1" a="1"/>
  <c r="A66" i="1" a="1"/>
  <c r="A69" i="1" a="1"/>
  <c r="A70" i="1" a="1"/>
  <c r="A71" i="1" a="1"/>
  <c r="A72" i="1" a="1"/>
  <c r="A73" i="1" a="1"/>
  <c r="A75" i="1" a="1"/>
  <c r="A10" i="1" a="1"/>
  <c r="L78" i="1"/>
  <c r="L8" i="1"/>
  <c r="A75" i="1"/>
  <c r="A73" i="1"/>
  <c r="A72" i="1"/>
  <c r="A71" i="1"/>
  <c r="A70" i="1"/>
  <c r="A69" i="1"/>
  <c r="A66" i="1"/>
  <c r="A65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49" i="1"/>
  <c r="A48" i="1"/>
  <c r="A47" i="1"/>
  <c r="A46" i="1"/>
  <c r="A45" i="1"/>
  <c r="A44" i="1"/>
  <c r="A43" i="1"/>
  <c r="A42" i="1"/>
  <c r="A41" i="1"/>
  <c r="A38" i="1"/>
  <c r="A37" i="1"/>
  <c r="A36" i="1"/>
  <c r="A35" i="1"/>
  <c r="A34" i="1"/>
  <c r="A32" i="1"/>
  <c r="A30" i="1"/>
  <c r="A29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2" i="1"/>
  <c r="A11" i="1"/>
  <c r="A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<sst xmlns="http://schemas.openxmlformats.org/spreadsheetml/2006/main" count="600" uniqueCount="292">
  <si>
    <t>Office/Unit No:</t>
  </si>
  <si>
    <t>501/502/509/510</t>
  </si>
  <si>
    <t>Office/Unit Name:</t>
  </si>
  <si>
    <t>ALIFCLOUD IT CONSULTING</t>
  </si>
  <si>
    <t>Admin Name:</t>
  </si>
  <si>
    <t>Aman Shaikh</t>
  </si>
  <si>
    <t>Admin/Contact:</t>
  </si>
  <si>
    <t>91 9028294404</t>
  </si>
  <si>
    <t>CHP Pass LIST</t>
  </si>
  <si>
    <t>Sr No</t>
  </si>
  <si>
    <t>Location</t>
  </si>
  <si>
    <t>Numberplate</t>
  </si>
  <si>
    <t>NumberplateDigits</t>
  </si>
  <si>
    <t>Vehicle Type</t>
  </si>
  <si>
    <t>Company Name</t>
  </si>
  <si>
    <t>User Email</t>
  </si>
  <si>
    <t>User FirstName</t>
  </si>
  <si>
    <t>User LastName</t>
  </si>
  <si>
    <t>User Phone</t>
  </si>
  <si>
    <t>Category(FREE/PAID)</t>
  </si>
  <si>
    <t>Payment Type</t>
  </si>
  <si>
    <t>(VEHICLE OWNER EMAIL ID)</t>
  </si>
  <si>
    <t>(FOR SMS)</t>
  </si>
  <si>
    <t>CASH/OTHER</t>
  </si>
  <si>
    <t>Clover Hills Plaza</t>
  </si>
  <si>
    <t>MH12VH3703</t>
  </si>
  <si>
    <t>2W</t>
  </si>
  <si>
    <t>farhan.q@alifconsulting.com</t>
  </si>
  <si>
    <t xml:space="preserve">Farhan </t>
  </si>
  <si>
    <t xml:space="preserve">Qudsi </t>
  </si>
  <si>
    <t>91 8796111885</t>
  </si>
  <si>
    <t>FREE</t>
  </si>
  <si>
    <t>MH12RX3604</t>
  </si>
  <si>
    <t>fardeen.k@alifconsulting.com</t>
  </si>
  <si>
    <t>Fardeen</t>
  </si>
  <si>
    <t>91 8217883707</t>
  </si>
  <si>
    <t>MH14FM0140</t>
  </si>
  <si>
    <t>0140</t>
  </si>
  <si>
    <t>4W</t>
  </si>
  <si>
    <t>mubbashir.s@alifconsulting.com</t>
  </si>
  <si>
    <t>Mubbashir</t>
  </si>
  <si>
    <t>Shaikh</t>
  </si>
  <si>
    <t>91 9890953234</t>
  </si>
  <si>
    <t>MH12NV8704</t>
  </si>
  <si>
    <t>MH12KH7468</t>
  </si>
  <si>
    <t>javed.s@alifconsulting.com</t>
  </si>
  <si>
    <t xml:space="preserve">Javed </t>
  </si>
  <si>
    <t>91 9766406430</t>
  </si>
  <si>
    <t>MH12LJ2803</t>
  </si>
  <si>
    <t>armaan.m@alifconsulting.com</t>
  </si>
  <si>
    <t>Armaan</t>
  </si>
  <si>
    <t>Mujawar</t>
  </si>
  <si>
    <t>91 9881917705</t>
  </si>
  <si>
    <t>MH12YT7866</t>
  </si>
  <si>
    <t>ali.k@alifconsulting.com</t>
  </si>
  <si>
    <t>Ali</t>
  </si>
  <si>
    <t>Kadri</t>
  </si>
  <si>
    <t>91 9130878608</t>
  </si>
  <si>
    <t>MH12VP1948</t>
  </si>
  <si>
    <t>Arbaz.q@Alifconsulting.com</t>
  </si>
  <si>
    <t>Arbaz</t>
  </si>
  <si>
    <t>Qureshi</t>
  </si>
  <si>
    <t>91 7499166956</t>
  </si>
  <si>
    <t>MH12RH3404</t>
  </si>
  <si>
    <t>aman.s@alifconsulting.com</t>
  </si>
  <si>
    <t>Aman</t>
  </si>
  <si>
    <t>MH02EE4484</t>
  </si>
  <si>
    <t>MH14FG4247</t>
  </si>
  <si>
    <t>ayan.q@alifconsulting.com</t>
  </si>
  <si>
    <t>Ayan</t>
  </si>
  <si>
    <t>91 9518384812</t>
  </si>
  <si>
    <t>MH19DF6786</t>
  </si>
  <si>
    <t>rizwan.s@alifconsulting.com</t>
  </si>
  <si>
    <t>Rizwan</t>
  </si>
  <si>
    <t>S</t>
  </si>
  <si>
    <t>91 9028826253</t>
  </si>
  <si>
    <t>Y</t>
  </si>
  <si>
    <t>CASH</t>
  </si>
  <si>
    <t>MH12MH0622</t>
  </si>
  <si>
    <t>0622</t>
  </si>
  <si>
    <t>eshwaree.p@alifconsulting.com</t>
  </si>
  <si>
    <t>Eshwaree</t>
  </si>
  <si>
    <t>Pawar</t>
  </si>
  <si>
    <t>91 9322061639</t>
  </si>
  <si>
    <t>N</t>
  </si>
  <si>
    <t>MH14GO679</t>
  </si>
  <si>
    <t>0679</t>
  </si>
  <si>
    <t>sands.s@alifconsulting.com</t>
  </si>
  <si>
    <t>Sands</t>
  </si>
  <si>
    <t>Samson</t>
  </si>
  <si>
    <t>91 8149377827</t>
  </si>
  <si>
    <t>MH13EJ9756</t>
  </si>
  <si>
    <t>hammad.g@alifconsulting.com</t>
  </si>
  <si>
    <t xml:space="preserve"> Hammad</t>
  </si>
  <si>
    <t>Gazikhan</t>
  </si>
  <si>
    <t>91 9112244286</t>
  </si>
  <si>
    <t>MH12MQ2182</t>
  </si>
  <si>
    <t>maaz.k@alifconsulting.com</t>
  </si>
  <si>
    <t>Maaz</t>
  </si>
  <si>
    <t>Khan</t>
  </si>
  <si>
    <t>MH12NV4884</t>
  </si>
  <si>
    <t>gufran.s@alifconsulting.com</t>
  </si>
  <si>
    <t>Gufran</t>
  </si>
  <si>
    <t>Sayyed</t>
  </si>
  <si>
    <t>91 98811 83835</t>
  </si>
  <si>
    <t>MH14CZ5854</t>
  </si>
  <si>
    <t>taher.s@alifconsulting.com</t>
  </si>
  <si>
    <t>Taher</t>
  </si>
  <si>
    <t xml:space="preserve"> 91 9172644238</t>
  </si>
  <si>
    <t>MH14HL9925</t>
  </si>
  <si>
    <t>MH12PM5455</t>
  </si>
  <si>
    <t>nizamuddin.s@alifconsulting.com</t>
  </si>
  <si>
    <t>Nizamuddin</t>
  </si>
  <si>
    <t>MH12MD6170</t>
  </si>
  <si>
    <t>nabil.s@alifconsulting.com</t>
  </si>
  <si>
    <t>Nabil</t>
  </si>
  <si>
    <t>91 9021845570</t>
  </si>
  <si>
    <t>MH12UQ9843</t>
  </si>
  <si>
    <t>MH10AX9419</t>
  </si>
  <si>
    <t>Aryan.m@alifconsulting.com</t>
  </si>
  <si>
    <t>Aryan</t>
  </si>
  <si>
    <t>91 9371821286</t>
  </si>
  <si>
    <t>MH12UD1643</t>
  </si>
  <si>
    <t>MH04KE0818</t>
  </si>
  <si>
    <t>0818</t>
  </si>
  <si>
    <t>rayyan.s@alifconsulting.com</t>
  </si>
  <si>
    <t>Rayyan</t>
  </si>
  <si>
    <t>91 7470693355</t>
  </si>
  <si>
    <t>MH12RQ8840</t>
  </si>
  <si>
    <t>mansoor.q@alifconsulting.com</t>
  </si>
  <si>
    <t>Mansoor</t>
  </si>
  <si>
    <t>Q</t>
  </si>
  <si>
    <t>91 8237400980</t>
  </si>
  <si>
    <t>MH12JW4350</t>
  </si>
  <si>
    <t>zaid.mankar@alifconsulting.com</t>
  </si>
  <si>
    <t>Zaid</t>
  </si>
  <si>
    <t>Mankar</t>
  </si>
  <si>
    <t>MH06CF6512</t>
  </si>
  <si>
    <t>kaif.h@alifconsulting.com</t>
  </si>
  <si>
    <t>Kaif</t>
  </si>
  <si>
    <t>Hamdule</t>
  </si>
  <si>
    <t>91 9075488619</t>
  </si>
  <si>
    <t>MH12DR7816</t>
  </si>
  <si>
    <t>amaan.shaikh@alifconsulting.com</t>
  </si>
  <si>
    <t>Amaan</t>
  </si>
  <si>
    <t>91 7798897158</t>
  </si>
  <si>
    <t>MH12ZC7081</t>
  </si>
  <si>
    <t>MH12WT4966</t>
  </si>
  <si>
    <t>MH48DL9246</t>
  </si>
  <si>
    <t>vivek.p@alifconsulting.com</t>
  </si>
  <si>
    <t>Vivek</t>
  </si>
  <si>
    <t>KA22HA5459</t>
  </si>
  <si>
    <t>sumit.p@alifconsulting.com</t>
  </si>
  <si>
    <t>Sumit</t>
  </si>
  <si>
    <t>Patil</t>
  </si>
  <si>
    <t>91 9740526153</t>
  </si>
  <si>
    <t>MH12DZ2604</t>
  </si>
  <si>
    <t>taukir.attar@alifconsulting.com</t>
  </si>
  <si>
    <t>Taukir</t>
  </si>
  <si>
    <t>Attar</t>
  </si>
  <si>
    <t>91 9665136849</t>
  </si>
  <si>
    <t>MH21G9749</t>
  </si>
  <si>
    <t>mohtesan.shaikh@alifconsulting.com</t>
  </si>
  <si>
    <t>Mohtesan</t>
  </si>
  <si>
    <t>MH09FC9573</t>
  </si>
  <si>
    <t>Mayur.b@alifconsulting.com</t>
  </si>
  <si>
    <t>Mayur</t>
  </si>
  <si>
    <t>Babar</t>
  </si>
  <si>
    <t>91 7057825033</t>
  </si>
  <si>
    <t>MH13EE7778</t>
  </si>
  <si>
    <t>adnan.a@alifconsulting.com</t>
  </si>
  <si>
    <t>Adnan</t>
  </si>
  <si>
    <t>Alloli</t>
  </si>
  <si>
    <t>MH06AR4615</t>
  </si>
  <si>
    <t>abdullah.j@alifconsulting.com</t>
  </si>
  <si>
    <t>Abdullah</t>
  </si>
  <si>
    <t>Jalgaonkar</t>
  </si>
  <si>
    <t>MH12IF1854</t>
  </si>
  <si>
    <t>moiz.p@alifconsulting
.com</t>
  </si>
  <si>
    <t>Moiz</t>
  </si>
  <si>
    <t>Patel</t>
  </si>
  <si>
    <t>91 9561667151</t>
  </si>
  <si>
    <t>MH12MF1126</t>
  </si>
  <si>
    <t>girija.l@alifconsulting.com</t>
  </si>
  <si>
    <t>Girija</t>
  </si>
  <si>
    <t>Lonkar</t>
  </si>
  <si>
    <t>91 8888548480</t>
  </si>
  <si>
    <t>MH12GU0225</t>
  </si>
  <si>
    <t>0225</t>
  </si>
  <si>
    <t>MH12EP6573</t>
  </si>
  <si>
    <t>sarfaraz.s@alifconsulting.com</t>
  </si>
  <si>
    <t>Sarfaraz</t>
  </si>
  <si>
    <t>91 7218789001</t>
  </si>
  <si>
    <t>MH12YG8996</t>
  </si>
  <si>
    <t>nadir.s@alifconsulting.com</t>
  </si>
  <si>
    <t>Nadir</t>
  </si>
  <si>
    <t>91 8530253299</t>
  </si>
  <si>
    <t>MH12RV9209</t>
  </si>
  <si>
    <t>idris.m@alifconsulting.com</t>
  </si>
  <si>
    <t>Idris</t>
  </si>
  <si>
    <t>M</t>
  </si>
  <si>
    <t xml:space="preserve">91 87660 9108 </t>
  </si>
  <si>
    <t>MH12LM5308</t>
  </si>
  <si>
    <t>sakib.t@alifconsulting.com</t>
  </si>
  <si>
    <t>Sakib</t>
  </si>
  <si>
    <t>Tamboli</t>
  </si>
  <si>
    <t>91 8600602608</t>
  </si>
  <si>
    <t>MH12NS5929</t>
  </si>
  <si>
    <t>Danish.k@alifconsulting.com</t>
  </si>
  <si>
    <t>Danish</t>
  </si>
  <si>
    <t xml:space="preserve">Khan </t>
  </si>
  <si>
    <t>91 9970779896</t>
  </si>
  <si>
    <t>MH24BV7035</t>
  </si>
  <si>
    <t>siddheshwar.v@alifconsulting.com</t>
  </si>
  <si>
    <t>Siddheshwar</t>
  </si>
  <si>
    <t>Vaidya</t>
  </si>
  <si>
    <t>MH12MS6708</t>
  </si>
  <si>
    <t>farhan.shaikh@alifconsulting.com</t>
  </si>
  <si>
    <t>Farhan</t>
  </si>
  <si>
    <t>MH13DR3629</t>
  </si>
  <si>
    <t>arif.s@alifconsulting.com</t>
  </si>
  <si>
    <t>Arif</t>
  </si>
  <si>
    <t>91 9623800623</t>
  </si>
  <si>
    <t>CG10EN0117</t>
  </si>
  <si>
    <t>0117</t>
  </si>
  <si>
    <t>harshita.i@alifconsulting.com</t>
  </si>
  <si>
    <t>Harshita</t>
  </si>
  <si>
    <t>Indurkar</t>
  </si>
  <si>
    <t>Mh12YH7778</t>
  </si>
  <si>
    <t>afridi.s@alifconsulting.com</t>
  </si>
  <si>
    <t>Afridi</t>
  </si>
  <si>
    <t>91 9325728804</t>
  </si>
  <si>
    <t>MH12MT6942</t>
  </si>
  <si>
    <t>abhishek-s@alifconsulting.com</t>
  </si>
  <si>
    <t>Abhishek</t>
  </si>
  <si>
    <t>Singh</t>
  </si>
  <si>
    <t>MH12ZJ3560</t>
  </si>
  <si>
    <t>sohel.shaikh@alifconsulting.com</t>
  </si>
  <si>
    <t>Sohail</t>
  </si>
  <si>
    <t>MH05FB6481</t>
  </si>
  <si>
    <t>ashish.d@alifconsulting.com</t>
  </si>
  <si>
    <t>Ashish</t>
  </si>
  <si>
    <t>Dhumal</t>
  </si>
  <si>
    <t>91 9987494090</t>
  </si>
  <si>
    <t>MH05FH5074</t>
  </si>
  <si>
    <t>MH09EY2731</t>
  </si>
  <si>
    <t>aarti.m@alifconsulting.com</t>
  </si>
  <si>
    <t>Aarti</t>
  </si>
  <si>
    <t>Mohite</t>
  </si>
  <si>
    <t>MH14LA4190</t>
  </si>
  <si>
    <t>rohitkumar.v@alifconsulting.com</t>
  </si>
  <si>
    <t>Rohit</t>
  </si>
  <si>
    <t>V</t>
  </si>
  <si>
    <t>91 75070 70829</t>
  </si>
  <si>
    <t>MH14GZ1397</t>
  </si>
  <si>
    <t>MH14ME3692</t>
  </si>
  <si>
    <t>MH12NG5114</t>
  </si>
  <si>
    <t>shubham.j@alifconsulting.com</t>
  </si>
  <si>
    <t>Shubham</t>
  </si>
  <si>
    <t>Jagtap</t>
  </si>
  <si>
    <t>MH12RW5950</t>
  </si>
  <si>
    <t>rehan.k@alifconsulting.com</t>
  </si>
  <si>
    <t>Rehan</t>
  </si>
  <si>
    <t>Kumar</t>
  </si>
  <si>
    <t>MH12WM6131</t>
  </si>
  <si>
    <t>saad.m@alifconsulting.com</t>
  </si>
  <si>
    <t>Saad</t>
  </si>
  <si>
    <t>MP13ER0476</t>
  </si>
  <si>
    <t>0476</t>
  </si>
  <si>
    <t>maaz.nagori@alifconsulting.com</t>
  </si>
  <si>
    <t>Nagori</t>
  </si>
  <si>
    <t>MH12UF7841</t>
  </si>
  <si>
    <t>shoaib.sayed@alifconsulting.com</t>
  </si>
  <si>
    <t>Shoaib</t>
  </si>
  <si>
    <t>Sayed</t>
  </si>
  <si>
    <t>MH12UU8951</t>
  </si>
  <si>
    <t>GJ06DA4227</t>
  </si>
  <si>
    <t>atharva.g@alifconsulting.com</t>
  </si>
  <si>
    <t>Atharva</t>
  </si>
  <si>
    <t>Ghongade</t>
  </si>
  <si>
    <t>Total</t>
  </si>
  <si>
    <t>Note:</t>
  </si>
  <si>
    <t xml:space="preserve"> The above format is a standard format according to the software system.</t>
  </si>
  <si>
    <t>All fields are compulsary.</t>
  </si>
  <si>
    <t xml:space="preserve">In case of either or vehicles PLEASE refer to the highlighted format. </t>
  </si>
  <si>
    <t xml:space="preserve">For FREE Category , only permitted number of vehicles from Clover Build Corp should be considered. </t>
  </si>
  <si>
    <t>Above list is just a template please edit information according to the respective office/unit.</t>
  </si>
  <si>
    <r>
      <t>For any querries/assistance please contact :</t>
    </r>
    <r>
      <rPr>
        <b/>
        <sz val="11"/>
        <color theme="1"/>
        <rFont val="Calibri"/>
        <family val="2"/>
        <scheme val="minor"/>
      </rPr>
      <t xml:space="preserve"> globalfmspune@gmail.com  9890154547 /propertymanager@cloverhillsplaza.in</t>
    </r>
  </si>
  <si>
    <t>Please mail the updated list on above mail addresses.</t>
  </si>
  <si>
    <t>Previous updated list will be considered for updation in system.</t>
  </si>
  <si>
    <t>Any changes in the format will be conveyed if required.</t>
  </si>
  <si>
    <t>Overnight vehicle parking is charged for pass holders too.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</si>
</sst>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 Unicode MS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2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4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2" borderId="1" xfId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1" fillId="0" borderId="1" xfId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1" xfId="1" applyBorder="1"/>
    <xf numFmtId="0" fontId="4" fillId="0" borderId="1" xfId="0" applyFont="1" applyBorder="1"/>
    <xf numFmtId="0" fontId="2" fillId="0" borderId="1" xfId="0" quotePrefix="1" applyFont="1" applyBorder="1" applyAlignment="1">
      <alignment horizontal="center"/>
    </xf>
    <xf numFmtId="0" fontId="1" fillId="0" borderId="1" xfId="1" applyFill="1" applyBorder="1"/>
    <xf numFmtId="0" fontId="3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1" fillId="5" borderId="1" xfId="1" applyFill="1" applyBorder="1"/>
    <xf numFmtId="0" fontId="0" fillId="5" borderId="1" xfId="0" applyFill="1" applyBorder="1"/>
    <xf numFmtId="0" fontId="1" fillId="5" borderId="1" xfId="1" applyFill="1" applyBorder="1" applyAlignment="1">
      <alignment horizontal="left"/>
    </xf>
    <xf numFmtId="0" fontId="2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5" borderId="0" xfId="1" applyFill="1" applyAlignment="1">
      <alignment horizontal="left"/>
    </xf>
    <xf numFmtId="0" fontId="6" fillId="2" borderId="1" xfId="0" applyFont="1" applyFill="1" applyBorder="1"/>
    <xf numFmtId="0" fontId="2" fillId="5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2" borderId="1" xfId="0" quotePrefix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8" borderId="0" xfId="1" applyFill="1" applyAlignment="1">
      <alignment horizontal="left"/>
    </xf>
    <xf numFmtId="0" fontId="3" fillId="5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8" borderId="1" xfId="0" quotePrefix="1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5" borderId="1" xfId="0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2" fillId="0" borderId="1" xfId="0" applyFont="1" applyBorder="1" applyAlignment="1">
      <alignment vertical="center" wrapText="1"/>
    </xf>
    <xf numFmtId="0" fontId="1" fillId="0" borderId="1" xfId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1" fillId="0" borderId="0" xfId="1" applyFill="1" applyAlignment="1">
      <alignment horizontal="left"/>
    </xf>
    <xf numFmtId="0" fontId="1" fillId="0" borderId="2" xfId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4" borderId="2" xfId="0" applyFont="1" applyFill="1" applyBorder="1" applyAlignment="1">
      <alignment horizontal="center"/>
    </xf>
    <xf numFmtId="0" fontId="1" fillId="2" borderId="1" xfId="1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0" fillId="8" borderId="1" xfId="0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1" fillId="2" borderId="2" xfId="1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1" fillId="8" borderId="1" xfId="1" applyFill="1" applyBorder="1" applyAlignment="1">
      <alignment horizontal="left"/>
    </xf>
    <xf numFmtId="0" fontId="9" fillId="2" borderId="1" xfId="0" quotePrefix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vertical="center" wrapText="1"/>
    </xf>
    <xf numFmtId="0" fontId="2" fillId="9" borderId="1" xfId="0" applyFont="1" applyFill="1" applyBorder="1" applyAlignment="1">
      <alignment horizontal="center" wrapText="1"/>
    </xf>
    <xf numFmtId="0" fontId="1" fillId="9" borderId="1" xfId="1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0" fillId="0" borderId="3" xfId="0" applyBorder="1"/>
    <xf numFmtId="0" fontId="10" fillId="0" borderId="1" xfId="0" applyFont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1" xfId="0" quotePrefix="1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/>
    </xf>
    <xf numFmtId="0" fontId="6" fillId="8" borderId="2" xfId="0" applyFont="1" applyFill="1" applyBorder="1" applyAlignment="1">
      <alignment vertical="center"/>
    </xf>
    <xf numFmtId="0" fontId="1" fillId="8" borderId="1" xfId="1" applyFill="1" applyBorder="1"/>
    <xf numFmtId="0" fontId="0" fillId="8" borderId="1" xfId="0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2" xfId="1" applyFill="1" applyBorder="1" applyAlignment="1">
      <alignment vertical="center"/>
    </xf>
    <xf numFmtId="0" fontId="1" fillId="0" borderId="3" xfId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8" borderId="2" xfId="0" applyFill="1" applyBorder="1" applyAlignment="1">
      <alignment horizontal="left" vertical="center" wrapText="1"/>
    </xf>
    <xf numFmtId="0" fontId="0" fillId="8" borderId="3" xfId="0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1" fillId="8" borderId="2" xfId="1" applyFill="1" applyBorder="1" applyAlignment="1">
      <alignment vertical="center"/>
    </xf>
    <xf numFmtId="0" fontId="1" fillId="8" borderId="3" xfId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0" borderId="4" xfId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5" borderId="1" xfId="1" applyFill="1" applyBorder="1" applyAlignment="1">
      <alignment horizontal="left" vertical="center"/>
    </xf>
    <xf numFmtId="0" fontId="8" fillId="5" borderId="1" xfId="1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1" fillId="2" borderId="2" xfId="1" applyFill="1" applyBorder="1" applyAlignment="1">
      <alignment vertical="center"/>
    </xf>
    <xf numFmtId="0" fontId="1" fillId="2" borderId="3" xfId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3" xfId="0" quotePrefix="1" applyFont="1" applyBorder="1" applyAlignment="1">
      <alignment horizontal="center" vertical="center"/>
    </xf>
    <xf numFmtId="0" fontId="2" fillId="8" borderId="2" xfId="0" quotePrefix="1" applyFont="1" applyFill="1" applyBorder="1" applyAlignment="1">
      <alignment horizontal="center" vertical="center"/>
    </xf>
    <xf numFmtId="0" fontId="2" fillId="8" borderId="3" xfId="0" quotePrefix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8" borderId="2" xfId="0" applyFill="1" applyBorder="1" applyAlignment="1">
      <alignment horizontal="left" vertical="center"/>
    </xf>
    <xf numFmtId="0" fontId="0" fillId="8" borderId="3" xfId="0" applyFill="1" applyBorder="1" applyAlignment="1">
      <alignment horizontal="left" vertical="center"/>
    </xf>
    <xf numFmtId="0" fontId="1" fillId="0" borderId="1" xfId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umit.p@alifconsulting.com" TargetMode="External"/><Relationship Id="rId18" Type="http://schemas.openxmlformats.org/officeDocument/2006/relationships/hyperlink" Target="mailto:siddheshwar.v@alifconsulting.com" TargetMode="External"/><Relationship Id="rId26" Type="http://schemas.openxmlformats.org/officeDocument/2006/relationships/hyperlink" Target="mailto:ayan.q@alifconsulting.com" TargetMode="External"/><Relationship Id="rId39" Type="http://schemas.openxmlformats.org/officeDocument/2006/relationships/hyperlink" Target="mailto:mohtesan.shaikh@alifconsulting.com" TargetMode="External"/><Relationship Id="rId21" Type="http://schemas.openxmlformats.org/officeDocument/2006/relationships/hyperlink" Target="mailto:aarti.m@alifconsulting.com" TargetMode="External"/><Relationship Id="rId34" Type="http://schemas.openxmlformats.org/officeDocument/2006/relationships/hyperlink" Target="mailto:rizwan.s@alifconsulting.com" TargetMode="External"/><Relationship Id="rId42" Type="http://schemas.openxmlformats.org/officeDocument/2006/relationships/hyperlink" Target="mailto:farhan.shaikh@alifconsulting.com" TargetMode="External"/><Relationship Id="rId47" Type="http://schemas.openxmlformats.org/officeDocument/2006/relationships/hyperlink" Target="mailto:vivek.p@alifconsulting.com" TargetMode="External"/><Relationship Id="rId50" Type="http://schemas.openxmlformats.org/officeDocument/2006/relationships/hyperlink" Target="mailto:mubbashir.s@alifconsulting.com" TargetMode="External"/><Relationship Id="rId55" Type="http://schemas.openxmlformats.org/officeDocument/2006/relationships/hyperlink" Target="mailto:atharva.g@alifconsulting.com" TargetMode="External"/><Relationship Id="rId7" Type="http://schemas.openxmlformats.org/officeDocument/2006/relationships/hyperlink" Target="mailto:nabil.s@alifconsulting.com" TargetMode="External"/><Relationship Id="rId2" Type="http://schemas.openxmlformats.org/officeDocument/2006/relationships/hyperlink" Target="mailto:armaan.m@alifconsulting.com" TargetMode="External"/><Relationship Id="rId16" Type="http://schemas.openxmlformats.org/officeDocument/2006/relationships/hyperlink" Target="mailto:eshwaree.p@alifconsulting.com" TargetMode="External"/><Relationship Id="rId29" Type="http://schemas.openxmlformats.org/officeDocument/2006/relationships/hyperlink" Target="mailto:kaif.h@alifconsulting.com" TargetMode="External"/><Relationship Id="rId11" Type="http://schemas.openxmlformats.org/officeDocument/2006/relationships/hyperlink" Target="mailto:Mayur.b@alifconsulting.com" TargetMode="External"/><Relationship Id="rId24" Type="http://schemas.openxmlformats.org/officeDocument/2006/relationships/hyperlink" Target="mailto:sarfaraz.s@alifconsulting.com" TargetMode="External"/><Relationship Id="rId32" Type="http://schemas.openxmlformats.org/officeDocument/2006/relationships/hyperlink" Target="mailto:farhan.q@alifconsulting.com" TargetMode="External"/><Relationship Id="rId37" Type="http://schemas.openxmlformats.org/officeDocument/2006/relationships/hyperlink" Target="mailto:sands.s@alifconsulting.com" TargetMode="External"/><Relationship Id="rId40" Type="http://schemas.openxmlformats.org/officeDocument/2006/relationships/hyperlink" Target="mailto:abdullah.j@alifconsulting.com" TargetMode="External"/><Relationship Id="rId45" Type="http://schemas.openxmlformats.org/officeDocument/2006/relationships/hyperlink" Target="mailto:rehan.k@alifconsulting.com" TargetMode="External"/><Relationship Id="rId53" Type="http://schemas.openxmlformats.org/officeDocument/2006/relationships/hyperlink" Target="mailto:ali.k@alifconsulting.com" TargetMode="External"/><Relationship Id="rId5" Type="http://schemas.openxmlformats.org/officeDocument/2006/relationships/hyperlink" Target="mailto:gufran.s@alifconsulting.com" TargetMode="External"/><Relationship Id="rId10" Type="http://schemas.openxmlformats.org/officeDocument/2006/relationships/hyperlink" Target="mailto:amaan.shaikh@alifconsulting.com" TargetMode="External"/><Relationship Id="rId19" Type="http://schemas.openxmlformats.org/officeDocument/2006/relationships/hyperlink" Target="mailto:afridi.s@alifconsulting.com" TargetMode="External"/><Relationship Id="rId31" Type="http://schemas.openxmlformats.org/officeDocument/2006/relationships/hyperlink" Target="mailto:rayyan.s@alifconsulting.com" TargetMode="External"/><Relationship Id="rId44" Type="http://schemas.openxmlformats.org/officeDocument/2006/relationships/hyperlink" Target="mailto:shubham.j@alifconsulting.com" TargetMode="External"/><Relationship Id="rId52" Type="http://schemas.openxmlformats.org/officeDocument/2006/relationships/hyperlink" Target="mailto:abhishek-s@alifconsulting.com" TargetMode="External"/><Relationship Id="rId4" Type="http://schemas.openxmlformats.org/officeDocument/2006/relationships/hyperlink" Target="mailto:maaz.k@alifconsulting.com" TargetMode="External"/><Relationship Id="rId9" Type="http://schemas.openxmlformats.org/officeDocument/2006/relationships/hyperlink" Target="mailto:zaid.mankar@alifconsulting.com" TargetMode="External"/><Relationship Id="rId14" Type="http://schemas.openxmlformats.org/officeDocument/2006/relationships/hyperlink" Target="mailto:moiz.p@alifconsulting.com" TargetMode="External"/><Relationship Id="rId22" Type="http://schemas.openxmlformats.org/officeDocument/2006/relationships/hyperlink" Target="mailto:idris.m@alifconsulting.com" TargetMode="External"/><Relationship Id="rId27" Type="http://schemas.openxmlformats.org/officeDocument/2006/relationships/hyperlink" Target="mailto:sakib.t@alifconsulting.com" TargetMode="External"/><Relationship Id="rId30" Type="http://schemas.openxmlformats.org/officeDocument/2006/relationships/hyperlink" Target="mailto:hammad.g@alifconsulting.com" TargetMode="External"/><Relationship Id="rId35" Type="http://schemas.openxmlformats.org/officeDocument/2006/relationships/hyperlink" Target="mailto:faraz.shaikh@alifconsulting.com" TargetMode="External"/><Relationship Id="rId43" Type="http://schemas.openxmlformats.org/officeDocument/2006/relationships/hyperlink" Target="mailto:sohel.shaikh@alifconsulting.com" TargetMode="External"/><Relationship Id="rId48" Type="http://schemas.openxmlformats.org/officeDocument/2006/relationships/hyperlink" Target="mailto:maaz.nagori@alifconsulting.com" TargetMode="External"/><Relationship Id="rId56" Type="http://schemas.openxmlformats.org/officeDocument/2006/relationships/printerSettings" Target="../printerSettings/printerSettings1.bin"/><Relationship Id="rId8" Type="http://schemas.openxmlformats.org/officeDocument/2006/relationships/hyperlink" Target="mailto:Aryan.m@alifconsulting.com" TargetMode="External"/><Relationship Id="rId51" Type="http://schemas.openxmlformats.org/officeDocument/2006/relationships/hyperlink" Target="mailto:javed.s@alifconsulting.com" TargetMode="External"/><Relationship Id="rId3" Type="http://schemas.openxmlformats.org/officeDocument/2006/relationships/hyperlink" Target="mailto:aman.s@alifconsulting.com" TargetMode="External"/><Relationship Id="rId12" Type="http://schemas.openxmlformats.org/officeDocument/2006/relationships/hyperlink" Target="mailto:adnan.a@alifconsulting.com" TargetMode="External"/><Relationship Id="rId17" Type="http://schemas.openxmlformats.org/officeDocument/2006/relationships/hyperlink" Target="mailto:Danish.k@alifconsulting.com" TargetMode="External"/><Relationship Id="rId25" Type="http://schemas.openxmlformats.org/officeDocument/2006/relationships/hyperlink" Target="mailto:mansoor.q@alifconsulting.com" TargetMode="External"/><Relationship Id="rId33" Type="http://schemas.openxmlformats.org/officeDocument/2006/relationships/hyperlink" Target="mailto:nadir.s@alifconsulting.com" TargetMode="External"/><Relationship Id="rId38" Type="http://schemas.openxmlformats.org/officeDocument/2006/relationships/hyperlink" Target="mailto:fardeen.k@alifconsulting.com" TargetMode="External"/><Relationship Id="rId46" Type="http://schemas.openxmlformats.org/officeDocument/2006/relationships/hyperlink" Target="mailto:saad.m@alifconsulting.com" TargetMode="External"/><Relationship Id="rId20" Type="http://schemas.openxmlformats.org/officeDocument/2006/relationships/hyperlink" Target="mailto:ashish.d@alifconsulting.com" TargetMode="External"/><Relationship Id="rId41" Type="http://schemas.openxmlformats.org/officeDocument/2006/relationships/hyperlink" Target="mailto:harshita.i@alifconsulting.com" TargetMode="External"/><Relationship Id="rId54" Type="http://schemas.openxmlformats.org/officeDocument/2006/relationships/hyperlink" Target="mailto:Arbaz.q@Alifconsulting.com" TargetMode="External"/><Relationship Id="rId1" Type="http://schemas.openxmlformats.org/officeDocument/2006/relationships/hyperlink" Target="mailto:farhan.q@alifconsulting.com" TargetMode="External"/><Relationship Id="rId6" Type="http://schemas.openxmlformats.org/officeDocument/2006/relationships/hyperlink" Target="mailto:taher.s@alifconsulting.com" TargetMode="External"/><Relationship Id="rId15" Type="http://schemas.openxmlformats.org/officeDocument/2006/relationships/hyperlink" Target="mailto:girija.l@alifconsulting.com" TargetMode="External"/><Relationship Id="rId23" Type="http://schemas.openxmlformats.org/officeDocument/2006/relationships/hyperlink" Target="mailto:rohitkumar.v@alifconsulting.com" TargetMode="External"/><Relationship Id="rId28" Type="http://schemas.openxmlformats.org/officeDocument/2006/relationships/hyperlink" Target="mailto:taukir.attar@alifconsulting.com" TargetMode="External"/><Relationship Id="rId36" Type="http://schemas.openxmlformats.org/officeDocument/2006/relationships/hyperlink" Target="mailto:nizamuddin.s@alifconsulting.com" TargetMode="External"/><Relationship Id="rId49" Type="http://schemas.openxmlformats.org/officeDocument/2006/relationships/hyperlink" Target="mailto:shoaib.sayed@alifconsult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"/>
  <sheetViews>
    <sheetView tabSelected="1" topLeftCell="E68" workbookViewId="0">
      <selection activeCell="J86" sqref="J86"/>
    </sheetView>
  </sheetViews>
  <sheetFormatPr defaultColWidth="9.140625" defaultRowHeight="14.45"/>
  <cols>
    <col min="1" max="1" width="9.140625" style="47" customWidth="1"/>
    <col min="2" max="2" width="17.5703125" style="3" bestFit="1" customWidth="1"/>
    <col min="3" max="3" width="23.5703125" style="5" customWidth="1"/>
    <col min="4" max="4" width="16.28515625" style="3" customWidth="1"/>
    <col min="5" max="5" width="16.140625" style="3" customWidth="1"/>
    <col min="6" max="6" width="25.5703125" style="6" bestFit="1" customWidth="1"/>
    <col min="7" max="7" width="20.7109375" style="5" customWidth="1"/>
    <col min="8" max="8" width="14.85546875" style="6" customWidth="1"/>
    <col min="9" max="9" width="9.140625" style="6"/>
    <col min="10" max="10" width="15" style="47" customWidth="1"/>
    <col min="11" max="11" width="9.5703125" style="1" customWidth="1"/>
    <col min="12" max="12" width="9.140625" style="3"/>
    <col min="13" max="13" width="12.85546875" style="3" customWidth="1"/>
    <col min="14" max="16384" width="9.140625" style="3"/>
  </cols>
  <sheetData>
    <row r="1" spans="1:13">
      <c r="B1" s="5" t="s">
        <v>0</v>
      </c>
      <c r="C1" s="10" t="s">
        <v>1</v>
      </c>
      <c r="F1" s="58"/>
    </row>
    <row r="2" spans="1:13">
      <c r="B2" s="5" t="s">
        <v>2</v>
      </c>
      <c r="C2" s="10" t="s">
        <v>3</v>
      </c>
      <c r="F2" s="58"/>
    </row>
    <row r="3" spans="1:13">
      <c r="B3" s="5" t="s">
        <v>4</v>
      </c>
      <c r="C3" s="10" t="s">
        <v>5</v>
      </c>
      <c r="F3" s="58"/>
    </row>
    <row r="4" spans="1:13">
      <c r="B4" s="5" t="s">
        <v>6</v>
      </c>
      <c r="C4" s="13" t="s">
        <v>7</v>
      </c>
      <c r="F4" s="58"/>
    </row>
    <row r="5" spans="1:13">
      <c r="C5" s="47"/>
    </row>
    <row r="6" spans="1:13">
      <c r="C6" s="47"/>
    </row>
    <row r="7" spans="1:13">
      <c r="A7" s="142" t="s">
        <v>8</v>
      </c>
      <c r="B7" s="142"/>
      <c r="C7" s="32" t="s">
        <v>0</v>
      </c>
      <c r="D7" s="33"/>
      <c r="E7" s="32" t="s">
        <v>2</v>
      </c>
      <c r="F7" s="143"/>
      <c r="G7" s="143"/>
      <c r="H7" s="34" t="s">
        <v>6</v>
      </c>
      <c r="I7" s="9"/>
      <c r="J7" s="7"/>
      <c r="K7" s="32"/>
      <c r="L7" s="7"/>
      <c r="M7" s="8"/>
    </row>
    <row r="8" spans="1:13">
      <c r="A8" s="2" t="s">
        <v>9</v>
      </c>
      <c r="B8" s="1" t="s">
        <v>10</v>
      </c>
      <c r="C8" s="2" t="s">
        <v>11</v>
      </c>
      <c r="D8" s="1" t="s">
        <v>12</v>
      </c>
      <c r="E8" s="1" t="s">
        <v>13</v>
      </c>
      <c r="F8" s="1" t="s">
        <v>14</v>
      </c>
      <c r="G8" s="19" t="s">
        <v>15</v>
      </c>
      <c r="H8" s="16" t="s">
        <v>16</v>
      </c>
      <c r="I8" s="16" t="s">
        <v>17</v>
      </c>
      <c r="J8" s="2" t="s">
        <v>18</v>
      </c>
      <c r="K8" s="1" t="s">
        <v>19</v>
      </c>
      <c r="L8" s="1">
        <f ca="1">SUM(L:L)</f>
        <v>0</v>
      </c>
      <c r="M8" s="1" t="s">
        <v>20</v>
      </c>
    </row>
    <row r="9" spans="1:13">
      <c r="F9" s="3"/>
      <c r="G9" s="19" t="s">
        <v>21</v>
      </c>
      <c r="H9" s="16"/>
      <c r="I9" s="16"/>
      <c r="J9" s="2" t="s">
        <v>22</v>
      </c>
      <c r="M9" s="3" t="s">
        <v>23</v>
      </c>
    </row>
    <row r="10" spans="1:13">
      <c r="A10" s="95" cm="1">
        <f t="array" ref="A10">IF(COUNTA(B10:B10)=0,"",ROWS($A$10:A10)-SUM(--(B$10:B10="")))</f>
        <v>1</v>
      </c>
      <c r="B10" s="11" t="s">
        <v>24</v>
      </c>
      <c r="C10" s="13" t="s">
        <v>25</v>
      </c>
      <c r="D10" s="10">
        <v>3703</v>
      </c>
      <c r="E10" s="10" t="s">
        <v>26</v>
      </c>
      <c r="F10" s="13" t="s">
        <v>3</v>
      </c>
      <c r="G10" s="12" t="s">
        <v>27</v>
      </c>
      <c r="H10" s="13" t="s">
        <v>28</v>
      </c>
      <c r="I10" s="13" t="s">
        <v>29</v>
      </c>
      <c r="J10" s="10" t="s">
        <v>30</v>
      </c>
      <c r="K10" s="10" t="s">
        <v>31</v>
      </c>
      <c r="L10" s="73">
        <v>0</v>
      </c>
      <c r="M10" s="13" t="s">
        <v>31</v>
      </c>
    </row>
    <row r="11" spans="1:13" s="27" customFormat="1">
      <c r="A11" s="95" cm="1">
        <f t="array" ref="A11">IF(COUNTA(B11:B11)=0,"",ROWS($A$10:A11)-SUM(--(B$10:B11="")))</f>
        <v>2</v>
      </c>
      <c r="B11" s="11" t="s">
        <v>24</v>
      </c>
      <c r="C11" s="13" t="s">
        <v>32</v>
      </c>
      <c r="D11" s="10">
        <v>3604</v>
      </c>
      <c r="E11" s="10" t="s">
        <v>26</v>
      </c>
      <c r="F11" s="10" t="s">
        <v>3</v>
      </c>
      <c r="G11" s="70" t="s">
        <v>33</v>
      </c>
      <c r="H11" s="10" t="s">
        <v>34</v>
      </c>
      <c r="I11" s="13" t="s">
        <v>29</v>
      </c>
      <c r="J11" s="10" t="s">
        <v>35</v>
      </c>
      <c r="K11" s="10" t="s">
        <v>31</v>
      </c>
      <c r="L11" s="73">
        <v>0</v>
      </c>
      <c r="M11" s="13" t="s">
        <v>31</v>
      </c>
    </row>
    <row r="12" spans="1:13" s="27" customFormat="1">
      <c r="A12" s="104" cm="1">
        <f t="array" ref="A12">IF(COUNTA(B12:B12)=0,"",ROWS($A$10:A12)-SUM(--(B$10:B12="")))</f>
        <v>3</v>
      </c>
      <c r="B12" s="145" t="s">
        <v>24</v>
      </c>
      <c r="C12" s="78" t="s">
        <v>36</v>
      </c>
      <c r="D12" s="83" t="s">
        <v>37</v>
      </c>
      <c r="E12" s="79" t="s">
        <v>38</v>
      </c>
      <c r="F12" s="102" t="s">
        <v>3</v>
      </c>
      <c r="G12" s="147" t="s">
        <v>39</v>
      </c>
      <c r="H12" s="102" t="s">
        <v>40</v>
      </c>
      <c r="I12" s="102" t="s">
        <v>41</v>
      </c>
      <c r="J12" s="102" t="s">
        <v>42</v>
      </c>
      <c r="K12" s="102" t="s">
        <v>31</v>
      </c>
      <c r="L12" s="126">
        <v>0</v>
      </c>
      <c r="M12" s="102" t="s">
        <v>31</v>
      </c>
    </row>
    <row r="13" spans="1:13" s="27" customFormat="1">
      <c r="A13" s="104"/>
      <c r="B13" s="146"/>
      <c r="C13" s="13" t="s">
        <v>43</v>
      </c>
      <c r="D13" s="10">
        <v>8704</v>
      </c>
      <c r="E13" s="10" t="s">
        <v>26</v>
      </c>
      <c r="F13" s="103"/>
      <c r="G13" s="148"/>
      <c r="H13" s="103"/>
      <c r="I13" s="103"/>
      <c r="J13" s="103"/>
      <c r="K13" s="103"/>
      <c r="L13" s="127"/>
      <c r="M13" s="103"/>
    </row>
    <row r="14" spans="1:13" s="27" customFormat="1">
      <c r="A14" s="95" cm="1">
        <f t="array" ref="A14">IF(COUNTA(B14:B14)=0,"",ROWS($A$10:A14)-SUM(--(B$10:B14="")))</f>
        <v>4</v>
      </c>
      <c r="B14" s="81" t="s">
        <v>24</v>
      </c>
      <c r="C14" s="13" t="s">
        <v>44</v>
      </c>
      <c r="D14" s="50">
        <v>7468</v>
      </c>
      <c r="E14" s="10" t="s">
        <v>26</v>
      </c>
      <c r="F14" s="13" t="s">
        <v>3</v>
      </c>
      <c r="G14" s="80" t="s">
        <v>45</v>
      </c>
      <c r="H14" s="13" t="s">
        <v>46</v>
      </c>
      <c r="I14" s="13" t="s">
        <v>41</v>
      </c>
      <c r="J14" s="10" t="s">
        <v>47</v>
      </c>
      <c r="K14" s="10" t="s">
        <v>31</v>
      </c>
      <c r="L14" s="73">
        <v>0</v>
      </c>
      <c r="M14" s="13" t="s">
        <v>31</v>
      </c>
    </row>
    <row r="15" spans="1:13" s="27" customFormat="1">
      <c r="A15" s="95" cm="1">
        <f t="array" ref="A15">IF(COUNTA(B15:B15)=0,"",ROWS($A$10:A15)-SUM(--(B$10:B15="")))</f>
        <v>5</v>
      </c>
      <c r="B15" s="11" t="s">
        <v>24</v>
      </c>
      <c r="C15" s="13" t="s">
        <v>48</v>
      </c>
      <c r="D15" s="10">
        <v>2803</v>
      </c>
      <c r="E15" s="10" t="s">
        <v>38</v>
      </c>
      <c r="F15" s="13" t="s">
        <v>3</v>
      </c>
      <c r="G15" s="12" t="s">
        <v>49</v>
      </c>
      <c r="H15" s="13" t="s">
        <v>50</v>
      </c>
      <c r="I15" s="13" t="s">
        <v>51</v>
      </c>
      <c r="J15" s="10" t="s">
        <v>52</v>
      </c>
      <c r="K15" s="10" t="s">
        <v>31</v>
      </c>
      <c r="L15" s="73">
        <v>0</v>
      </c>
      <c r="M15" s="13" t="s">
        <v>31</v>
      </c>
    </row>
    <row r="16" spans="1:13">
      <c r="A16" s="95" cm="1">
        <f t="array" ref="A16">IF(COUNTA(B16:B16)=0,"",ROWS($A$10:A16)-SUM(--(B$10:B16="")))</f>
        <v>6</v>
      </c>
      <c r="B16" s="90" t="s">
        <v>24</v>
      </c>
      <c r="C16" s="51" t="s">
        <v>53</v>
      </c>
      <c r="D16" s="31">
        <v>7866</v>
      </c>
      <c r="E16" s="31" t="s">
        <v>26</v>
      </c>
      <c r="F16" s="91" t="s">
        <v>3</v>
      </c>
      <c r="G16" s="80" t="s">
        <v>54</v>
      </c>
      <c r="H16" s="84" t="s">
        <v>55</v>
      </c>
      <c r="I16" s="91" t="s">
        <v>56</v>
      </c>
      <c r="J16" s="91" t="s">
        <v>57</v>
      </c>
      <c r="K16" s="91" t="s">
        <v>31</v>
      </c>
      <c r="L16" s="92">
        <v>0</v>
      </c>
      <c r="M16" s="91" t="s">
        <v>31</v>
      </c>
    </row>
    <row r="17" spans="1:14">
      <c r="A17" s="95" cm="1">
        <f t="array" ref="A17">IF(COUNTA(B17:B17)=0,"",ROWS($A$10:A17)-SUM(--(B$10:B17="")))</f>
        <v>7</v>
      </c>
      <c r="B17" s="90" t="s">
        <v>24</v>
      </c>
      <c r="C17" s="13" t="s">
        <v>58</v>
      </c>
      <c r="D17" s="10">
        <v>1948</v>
      </c>
      <c r="E17" s="10" t="s">
        <v>26</v>
      </c>
      <c r="F17" s="91" t="s">
        <v>3</v>
      </c>
      <c r="G17" s="80" t="s">
        <v>59</v>
      </c>
      <c r="H17" s="84" t="s">
        <v>60</v>
      </c>
      <c r="I17" s="91" t="s">
        <v>61</v>
      </c>
      <c r="J17" s="91" t="s">
        <v>62</v>
      </c>
      <c r="K17" s="91" t="s">
        <v>31</v>
      </c>
      <c r="L17" s="92">
        <v>0</v>
      </c>
      <c r="M17" s="91" t="s">
        <v>31</v>
      </c>
    </row>
    <row r="18" spans="1:14">
      <c r="A18" s="95" cm="1">
        <f t="array" ref="A18">IF(COUNTA(B18:B18)=0,"",ROWS($A$10:A18)-SUM(--(B$10:B18="")))</f>
        <v>8</v>
      </c>
      <c r="B18" s="11" t="s">
        <v>24</v>
      </c>
      <c r="C18" s="13" t="s">
        <v>63</v>
      </c>
      <c r="D18" s="10">
        <v>3404</v>
      </c>
      <c r="E18" s="10" t="s">
        <v>26</v>
      </c>
      <c r="F18" s="13" t="s">
        <v>3</v>
      </c>
      <c r="G18" s="12" t="s">
        <v>64</v>
      </c>
      <c r="H18" s="13" t="s">
        <v>65</v>
      </c>
      <c r="I18" s="13" t="s">
        <v>41</v>
      </c>
      <c r="J18" s="10" t="s">
        <v>7</v>
      </c>
      <c r="K18" s="10" t="s">
        <v>31</v>
      </c>
      <c r="L18" s="73">
        <v>0</v>
      </c>
      <c r="M18" s="13" t="s">
        <v>31</v>
      </c>
    </row>
    <row r="19" spans="1:14">
      <c r="A19" s="95" cm="1">
        <f t="array" ref="A19">IF(COUNTA(B19:B19)=0,"",ROWS($A$10:A19)-SUM(--(B$10:B19="")))</f>
        <v>9</v>
      </c>
      <c r="B19" s="11" t="s">
        <v>24</v>
      </c>
      <c r="C19" s="13" t="s">
        <v>66</v>
      </c>
      <c r="D19" s="10">
        <v>4484</v>
      </c>
      <c r="E19" s="10" t="s">
        <v>38</v>
      </c>
      <c r="F19" s="13" t="s">
        <v>3</v>
      </c>
      <c r="G19" s="12" t="s">
        <v>27</v>
      </c>
      <c r="H19" s="13" t="s">
        <v>28</v>
      </c>
      <c r="I19" s="13" t="s">
        <v>29</v>
      </c>
      <c r="J19" s="10" t="s">
        <v>30</v>
      </c>
      <c r="K19" s="10" t="s">
        <v>31</v>
      </c>
      <c r="L19" s="73">
        <v>0</v>
      </c>
      <c r="M19" s="13" t="s">
        <v>31</v>
      </c>
    </row>
    <row r="20" spans="1:14">
      <c r="A20" s="95" cm="1">
        <f t="array" ref="A20">IF(COUNTA(B20:B20)=0,"",ROWS($A$10:A20)-SUM(--(B$10:B20="")))</f>
        <v>10</v>
      </c>
      <c r="B20" s="37" t="s">
        <v>24</v>
      </c>
      <c r="C20" s="51" t="s">
        <v>67</v>
      </c>
      <c r="D20" s="31">
        <v>4247</v>
      </c>
      <c r="E20" s="31" t="s">
        <v>38</v>
      </c>
      <c r="F20" s="51" t="s">
        <v>3</v>
      </c>
      <c r="G20" s="12" t="s">
        <v>68</v>
      </c>
      <c r="H20" s="13" t="s">
        <v>69</v>
      </c>
      <c r="I20" s="13" t="s">
        <v>29</v>
      </c>
      <c r="J20" s="10" t="s">
        <v>70</v>
      </c>
      <c r="K20" s="10" t="s">
        <v>31</v>
      </c>
      <c r="L20" s="13">
        <v>0</v>
      </c>
      <c r="M20" s="13" t="s">
        <v>31</v>
      </c>
    </row>
    <row r="21" spans="1:14">
      <c r="A21" s="95" cm="1">
        <f t="array" ref="A21">IF(COUNTA(B21:B21)=0,"",ROWS($A$10:A21)-SUM(--(B$10:B21="")))</f>
        <v>11</v>
      </c>
      <c r="B21" s="58" t="s">
        <v>24</v>
      </c>
      <c r="C21" s="16" t="s">
        <v>71</v>
      </c>
      <c r="D21" s="16">
        <v>6786</v>
      </c>
      <c r="E21" s="2" t="s">
        <v>26</v>
      </c>
      <c r="F21" s="16" t="s">
        <v>3</v>
      </c>
      <c r="G21" s="18" t="s">
        <v>72</v>
      </c>
      <c r="H21" s="15" t="s">
        <v>73</v>
      </c>
      <c r="I21" s="15" t="s">
        <v>74</v>
      </c>
      <c r="J21" s="2" t="s">
        <v>75</v>
      </c>
      <c r="K21" s="16" t="s">
        <v>76</v>
      </c>
      <c r="L21" s="2">
        <v>300</v>
      </c>
      <c r="M21" s="43" t="s">
        <v>77</v>
      </c>
      <c r="N21" s="16"/>
    </row>
    <row r="22" spans="1:14">
      <c r="A22" s="95" cm="1">
        <f t="array" ref="A22">IF(COUNTA(B22:B22)=0,"",ROWS($A$10:A22)-SUM(--(B$10:B22="")))</f>
        <v>12</v>
      </c>
      <c r="B22" s="64" t="s">
        <v>24</v>
      </c>
      <c r="C22" s="42" t="s">
        <v>78</v>
      </c>
      <c r="D22" s="57" t="s">
        <v>79</v>
      </c>
      <c r="E22" s="41" t="s">
        <v>26</v>
      </c>
      <c r="F22" s="42" t="s">
        <v>3</v>
      </c>
      <c r="G22" s="82" t="s">
        <v>80</v>
      </c>
      <c r="H22" s="42" t="s">
        <v>81</v>
      </c>
      <c r="I22" s="42" t="s">
        <v>82</v>
      </c>
      <c r="J22" s="41" t="s">
        <v>83</v>
      </c>
      <c r="K22" s="42" t="s">
        <v>84</v>
      </c>
      <c r="L22" s="42">
        <v>0</v>
      </c>
      <c r="M22" s="42" t="s">
        <v>77</v>
      </c>
      <c r="N22" s="16"/>
    </row>
    <row r="23" spans="1:14">
      <c r="A23" s="95" cm="1">
        <f t="array" ref="A23">IF(COUNTA(B23:B23)=0,"",ROWS($A$10:A23)-SUM(--(B$10:B23="")))</f>
        <v>13</v>
      </c>
      <c r="B23" s="64" t="s">
        <v>24</v>
      </c>
      <c r="C23" s="42" t="s">
        <v>85</v>
      </c>
      <c r="D23" s="57" t="s">
        <v>86</v>
      </c>
      <c r="E23" s="41" t="s">
        <v>26</v>
      </c>
      <c r="F23" s="42" t="s">
        <v>3</v>
      </c>
      <c r="G23" s="82" t="s">
        <v>87</v>
      </c>
      <c r="H23" s="42" t="s">
        <v>88</v>
      </c>
      <c r="I23" s="42" t="s">
        <v>89</v>
      </c>
      <c r="J23" s="41" t="s">
        <v>90</v>
      </c>
      <c r="K23" s="42" t="s">
        <v>84</v>
      </c>
      <c r="L23" s="42">
        <v>0</v>
      </c>
      <c r="M23" s="42" t="s">
        <v>77</v>
      </c>
      <c r="N23" s="16"/>
    </row>
    <row r="24" spans="1:14">
      <c r="A24" s="95" cm="1">
        <f t="array" ref="A24">IF(COUNTA(B24:B24)=0,"",ROWS($A$10:A24)-SUM(--(B$10:B24="")))</f>
        <v>14</v>
      </c>
      <c r="B24" s="71" t="s">
        <v>24</v>
      </c>
      <c r="C24" s="16" t="s">
        <v>91</v>
      </c>
      <c r="D24" s="22">
        <v>9756</v>
      </c>
      <c r="E24" s="17" t="s">
        <v>26</v>
      </c>
      <c r="F24" s="38" t="s">
        <v>3</v>
      </c>
      <c r="G24" s="23" t="s">
        <v>92</v>
      </c>
      <c r="H24" s="46" t="s">
        <v>93</v>
      </c>
      <c r="I24" s="46" t="s">
        <v>94</v>
      </c>
      <c r="J24" s="2" t="s">
        <v>95</v>
      </c>
      <c r="K24" s="53" t="s">
        <v>76</v>
      </c>
      <c r="L24" s="43">
        <v>300</v>
      </c>
      <c r="M24" s="43" t="s">
        <v>77</v>
      </c>
      <c r="N24" s="16"/>
    </row>
    <row r="25" spans="1:14">
      <c r="A25" s="95" cm="1">
        <f t="array" ref="A25">IF(COUNTA(B25:B25)=0,"",ROWS($A$10:A25)-SUM(--(B$10:B25="")))</f>
        <v>15</v>
      </c>
      <c r="B25" s="64" t="s">
        <v>24</v>
      </c>
      <c r="C25" s="42" t="s">
        <v>96</v>
      </c>
      <c r="D25" s="41">
        <v>2182</v>
      </c>
      <c r="E25" s="41" t="s">
        <v>26</v>
      </c>
      <c r="F25" s="42" t="s">
        <v>3</v>
      </c>
      <c r="G25" s="82" t="s">
        <v>97</v>
      </c>
      <c r="H25" s="42" t="s">
        <v>98</v>
      </c>
      <c r="I25" s="42" t="s">
        <v>99</v>
      </c>
      <c r="J25" s="41"/>
      <c r="K25" s="42" t="s">
        <v>84</v>
      </c>
      <c r="L25" s="42">
        <v>0</v>
      </c>
      <c r="M25" s="42" t="s">
        <v>77</v>
      </c>
      <c r="N25" s="16"/>
    </row>
    <row r="26" spans="1:14">
      <c r="A26" s="95" cm="1">
        <f t="array" ref="A26">IF(COUNTA(B26:B26)=0,"",ROWS($A$10:A26)-SUM(--(B$10:B26="")))</f>
        <v>16</v>
      </c>
      <c r="B26" s="58" t="s">
        <v>24</v>
      </c>
      <c r="C26" s="53" t="s">
        <v>100</v>
      </c>
      <c r="D26" s="2">
        <v>4884</v>
      </c>
      <c r="E26" s="2" t="s">
        <v>26</v>
      </c>
      <c r="F26" s="16" t="s">
        <v>3</v>
      </c>
      <c r="G26" s="18" t="s">
        <v>101</v>
      </c>
      <c r="H26" s="15" t="s">
        <v>102</v>
      </c>
      <c r="I26" s="15" t="s">
        <v>103</v>
      </c>
      <c r="J26" s="2" t="s">
        <v>104</v>
      </c>
      <c r="K26" s="16" t="s">
        <v>76</v>
      </c>
      <c r="L26" s="16">
        <v>300</v>
      </c>
      <c r="M26" s="16" t="s">
        <v>77</v>
      </c>
      <c r="N26" s="16"/>
    </row>
    <row r="27" spans="1:14" s="16" customFormat="1" ht="15.6" customHeight="1">
      <c r="A27" s="104" cm="1">
        <f t="array" ref="A27">IF(COUNTA(B27:B27)=0,"",ROWS($A$10:A27)-SUM(--(B$10:B27="")))</f>
        <v>17</v>
      </c>
      <c r="B27" s="149" t="s">
        <v>24</v>
      </c>
      <c r="C27" s="29" t="s">
        <v>105</v>
      </c>
      <c r="D27" s="29">
        <v>5854</v>
      </c>
      <c r="E27" s="29" t="s">
        <v>26</v>
      </c>
      <c r="F27" s="139" t="s">
        <v>3</v>
      </c>
      <c r="G27" s="135" t="s">
        <v>106</v>
      </c>
      <c r="H27" s="144" t="s">
        <v>107</v>
      </c>
      <c r="I27" s="144" t="s">
        <v>103</v>
      </c>
      <c r="J27" s="139" t="s">
        <v>108</v>
      </c>
      <c r="K27" s="137" t="s">
        <v>76</v>
      </c>
      <c r="L27" s="139">
        <v>300</v>
      </c>
      <c r="M27" s="139" t="s">
        <v>77</v>
      </c>
      <c r="N27" s="107"/>
    </row>
    <row r="28" spans="1:14" s="16" customFormat="1" ht="15.6" customHeight="1">
      <c r="A28" s="104"/>
      <c r="B28" s="149"/>
      <c r="C28" s="29" t="s">
        <v>109</v>
      </c>
      <c r="D28" s="29">
        <v>9925</v>
      </c>
      <c r="E28" s="29" t="s">
        <v>26</v>
      </c>
      <c r="F28" s="139"/>
      <c r="G28" s="136"/>
      <c r="H28" s="144"/>
      <c r="I28" s="144"/>
      <c r="J28" s="139"/>
      <c r="K28" s="138"/>
      <c r="L28" s="139"/>
      <c r="M28" s="139"/>
      <c r="N28" s="108"/>
    </row>
    <row r="29" spans="1:14" s="1" customFormat="1" ht="15.6" customHeight="1">
      <c r="A29" s="95" cm="1">
        <f t="array" ref="A29">IF(COUNTA(B29:B29)=0,"",ROWS($A$10:A29)-SUM(--(B$10:B29="")))</f>
        <v>18</v>
      </c>
      <c r="B29" s="58" t="s">
        <v>24</v>
      </c>
      <c r="C29" s="16" t="s">
        <v>110</v>
      </c>
      <c r="D29" s="16">
        <v>5455</v>
      </c>
      <c r="E29" s="2" t="s">
        <v>26</v>
      </c>
      <c r="F29" s="39" t="s">
        <v>3</v>
      </c>
      <c r="G29" s="18" t="s">
        <v>111</v>
      </c>
      <c r="H29" s="15" t="s">
        <v>112</v>
      </c>
      <c r="I29" s="15" t="s">
        <v>41</v>
      </c>
      <c r="J29" s="2"/>
      <c r="K29" s="16" t="s">
        <v>76</v>
      </c>
      <c r="L29" s="2">
        <v>300</v>
      </c>
      <c r="M29" s="43" t="s">
        <v>77</v>
      </c>
      <c r="N29" s="68"/>
    </row>
    <row r="30" spans="1:14" s="1" customFormat="1" ht="15.6" customHeight="1">
      <c r="A30" s="104" cm="1">
        <f t="array" ref="A30">IF(COUNTA(B30:B30)=0,"",ROWS($A$10:A30)-SUM(--(B$10:B30="")))</f>
        <v>19</v>
      </c>
      <c r="B30" s="159" t="s">
        <v>24</v>
      </c>
      <c r="C30" s="42" t="s">
        <v>113</v>
      </c>
      <c r="D30" s="41">
        <v>6170</v>
      </c>
      <c r="E30" s="117" t="s">
        <v>26</v>
      </c>
      <c r="F30" s="117" t="s">
        <v>3</v>
      </c>
      <c r="G30" s="119" t="s">
        <v>114</v>
      </c>
      <c r="H30" s="117" t="s">
        <v>115</v>
      </c>
      <c r="I30" s="117" t="s">
        <v>41</v>
      </c>
      <c r="J30" s="117" t="s">
        <v>116</v>
      </c>
      <c r="K30" s="117" t="s">
        <v>84</v>
      </c>
      <c r="L30" s="117">
        <v>0</v>
      </c>
      <c r="M30" s="117" t="s">
        <v>77</v>
      </c>
      <c r="N30" s="68"/>
    </row>
    <row r="31" spans="1:14" s="1" customFormat="1">
      <c r="A31" s="104"/>
      <c r="B31" s="160"/>
      <c r="C31" s="42" t="s">
        <v>117</v>
      </c>
      <c r="D31" s="41">
        <v>9843</v>
      </c>
      <c r="E31" s="118"/>
      <c r="F31" s="118"/>
      <c r="G31" s="120"/>
      <c r="H31" s="118"/>
      <c r="I31" s="118"/>
      <c r="J31" s="118"/>
      <c r="K31" s="118"/>
      <c r="L31" s="118"/>
      <c r="M31" s="118"/>
      <c r="N31" s="16"/>
    </row>
    <row r="32" spans="1:14" s="1" customFormat="1" ht="15.6" customHeight="1">
      <c r="A32" s="104" cm="1">
        <f t="array" ref="A32">IF(COUNTA(B32:B32)=0,"",ROWS($A$10:A32)-SUM(--(B$10:B32="")))</f>
        <v>20</v>
      </c>
      <c r="B32" s="125" t="s">
        <v>24</v>
      </c>
      <c r="C32" s="16" t="s">
        <v>118</v>
      </c>
      <c r="D32" s="2">
        <v>9419</v>
      </c>
      <c r="E32" s="2" t="s">
        <v>26</v>
      </c>
      <c r="F32" s="141" t="s">
        <v>3</v>
      </c>
      <c r="G32" s="161" t="s">
        <v>119</v>
      </c>
      <c r="H32" s="144" t="s">
        <v>120</v>
      </c>
      <c r="I32" s="144" t="s">
        <v>51</v>
      </c>
      <c r="J32" s="141" t="s">
        <v>121</v>
      </c>
      <c r="K32" s="107" t="s">
        <v>76</v>
      </c>
      <c r="L32" s="141">
        <v>300</v>
      </c>
      <c r="M32" s="141" t="s">
        <v>77</v>
      </c>
      <c r="N32" s="107"/>
    </row>
    <row r="33" spans="1:14" s="1" customFormat="1" ht="15.6" customHeight="1">
      <c r="A33" s="104"/>
      <c r="B33" s="125"/>
      <c r="C33" s="16" t="s">
        <v>122</v>
      </c>
      <c r="D33" s="2">
        <v>1643</v>
      </c>
      <c r="E33" s="2" t="s">
        <v>26</v>
      </c>
      <c r="F33" s="141"/>
      <c r="G33" s="161"/>
      <c r="H33" s="144"/>
      <c r="I33" s="144"/>
      <c r="J33" s="141"/>
      <c r="K33" s="108"/>
      <c r="L33" s="141"/>
      <c r="M33" s="141"/>
      <c r="N33" s="108"/>
    </row>
    <row r="34" spans="1:14" s="61" customFormat="1" ht="15.75" customHeight="1">
      <c r="A34" s="95" cm="1">
        <f t="array" ref="A34">IF(COUNTA(B34:B34)=0,"",ROWS($A$10:A34)-SUM(--(B$10:B34="")))</f>
        <v>21</v>
      </c>
      <c r="B34" s="77" t="s">
        <v>24</v>
      </c>
      <c r="C34" s="42" t="s">
        <v>123</v>
      </c>
      <c r="D34" s="97" t="s">
        <v>124</v>
      </c>
      <c r="E34" s="41" t="s">
        <v>26</v>
      </c>
      <c r="F34" s="96" t="s">
        <v>3</v>
      </c>
      <c r="G34" s="82" t="s">
        <v>125</v>
      </c>
      <c r="H34" s="42" t="s">
        <v>126</v>
      </c>
      <c r="I34" s="42" t="s">
        <v>103</v>
      </c>
      <c r="J34" s="41" t="s">
        <v>127</v>
      </c>
      <c r="K34" s="42" t="s">
        <v>84</v>
      </c>
      <c r="L34" s="74">
        <v>0</v>
      </c>
      <c r="M34" s="98" t="s">
        <v>77</v>
      </c>
      <c r="N34" s="60"/>
    </row>
    <row r="35" spans="1:14" s="1" customFormat="1" ht="15.75" customHeight="1">
      <c r="A35" s="95" cm="1">
        <f t="array" ref="A35">IF(COUNTA(B35:B35)=0,"",ROWS($A$10:A35)-SUM(--(B$10:B35="")))</f>
        <v>22</v>
      </c>
      <c r="B35" s="58" t="s">
        <v>24</v>
      </c>
      <c r="C35" s="16" t="s">
        <v>128</v>
      </c>
      <c r="D35" s="2">
        <v>8840</v>
      </c>
      <c r="E35" s="48" t="s">
        <v>26</v>
      </c>
      <c r="F35" s="60" t="s">
        <v>3</v>
      </c>
      <c r="G35" s="63" t="s">
        <v>129</v>
      </c>
      <c r="H35" s="4" t="s">
        <v>130</v>
      </c>
      <c r="I35" s="4" t="s">
        <v>131</v>
      </c>
      <c r="J35" s="2" t="s">
        <v>132</v>
      </c>
      <c r="K35" s="16" t="s">
        <v>76</v>
      </c>
      <c r="L35" s="2">
        <v>300</v>
      </c>
      <c r="M35" s="48" t="s">
        <v>77</v>
      </c>
      <c r="N35" s="16"/>
    </row>
    <row r="36" spans="1:14" s="1" customFormat="1">
      <c r="A36" s="95" cm="1">
        <f t="array" ref="A36">IF(COUNTA(B36:B36)=0,"",ROWS($A$10:A36)-SUM(--(B$10:B36="")))</f>
        <v>23</v>
      </c>
      <c r="B36" s="58" t="s">
        <v>24</v>
      </c>
      <c r="C36" s="16" t="s">
        <v>133</v>
      </c>
      <c r="D36" s="2">
        <v>4350</v>
      </c>
      <c r="E36" s="2" t="s">
        <v>26</v>
      </c>
      <c r="F36" s="16" t="s">
        <v>3</v>
      </c>
      <c r="G36" s="18" t="s">
        <v>134</v>
      </c>
      <c r="H36" s="4" t="s">
        <v>135</v>
      </c>
      <c r="I36" s="4" t="s">
        <v>136</v>
      </c>
      <c r="J36" s="2"/>
      <c r="K36" s="16" t="s">
        <v>76</v>
      </c>
      <c r="L36" s="16">
        <v>300</v>
      </c>
      <c r="M36" s="16" t="s">
        <v>77</v>
      </c>
      <c r="N36" s="16"/>
    </row>
    <row r="37" spans="1:14" s="1" customFormat="1">
      <c r="A37" s="95" cm="1">
        <f t="array" ref="A37">IF(COUNTA(B37:B37)=0,"",ROWS($A$10:A37)-SUM(--(B$10:B37="")))</f>
        <v>24</v>
      </c>
      <c r="B37" s="72" t="s">
        <v>24</v>
      </c>
      <c r="C37" s="16" t="s">
        <v>137</v>
      </c>
      <c r="D37" s="22">
        <v>6512</v>
      </c>
      <c r="E37" s="2" t="s">
        <v>26</v>
      </c>
      <c r="F37" s="39" t="s">
        <v>3</v>
      </c>
      <c r="G37" s="23" t="s">
        <v>138</v>
      </c>
      <c r="H37" s="46" t="s">
        <v>139</v>
      </c>
      <c r="I37" s="46" t="s">
        <v>140</v>
      </c>
      <c r="J37" s="2" t="s">
        <v>141</v>
      </c>
      <c r="K37" s="53" t="s">
        <v>76</v>
      </c>
      <c r="L37" s="43">
        <v>300</v>
      </c>
      <c r="M37" s="43" t="s">
        <v>77</v>
      </c>
      <c r="N37" s="16"/>
    </row>
    <row r="38" spans="1:14" s="1" customFormat="1" ht="15.6" customHeight="1">
      <c r="A38" s="104" cm="1">
        <f t="array" ref="A38">IF(COUNTA(B38:B38)=0,"",ROWS($A$10:A38)-SUM(--(B$10:B38="")))</f>
        <v>25</v>
      </c>
      <c r="B38" s="105" t="s">
        <v>24</v>
      </c>
      <c r="C38" s="53" t="s">
        <v>142</v>
      </c>
      <c r="D38" s="2">
        <v>7816</v>
      </c>
      <c r="E38" s="2" t="s">
        <v>26</v>
      </c>
      <c r="F38" s="107" t="s">
        <v>3</v>
      </c>
      <c r="G38" s="109" t="s">
        <v>143</v>
      </c>
      <c r="H38" s="129" t="s">
        <v>144</v>
      </c>
      <c r="I38" s="129" t="s">
        <v>41</v>
      </c>
      <c r="J38" s="132" t="s">
        <v>145</v>
      </c>
      <c r="K38" s="107" t="s">
        <v>76</v>
      </c>
      <c r="L38" s="107">
        <v>600</v>
      </c>
      <c r="M38" s="107" t="s">
        <v>77</v>
      </c>
      <c r="N38" s="16"/>
    </row>
    <row r="39" spans="1:14" s="1" customFormat="1">
      <c r="A39" s="104"/>
      <c r="B39" s="123"/>
      <c r="C39" s="16" t="s">
        <v>146</v>
      </c>
      <c r="D39" s="16">
        <v>7081</v>
      </c>
      <c r="E39" s="16" t="s">
        <v>38</v>
      </c>
      <c r="F39" s="124"/>
      <c r="G39" s="128"/>
      <c r="H39" s="130"/>
      <c r="I39" s="130"/>
      <c r="J39" s="133"/>
      <c r="K39" s="124"/>
      <c r="L39" s="124"/>
      <c r="M39" s="124"/>
      <c r="N39" s="16"/>
    </row>
    <row r="40" spans="1:14" s="1" customFormat="1">
      <c r="A40" s="104"/>
      <c r="B40" s="106"/>
      <c r="C40" s="16" t="s">
        <v>147</v>
      </c>
      <c r="D40" s="16">
        <v>4966</v>
      </c>
      <c r="E40" s="16" t="s">
        <v>26</v>
      </c>
      <c r="F40" s="108"/>
      <c r="G40" s="110"/>
      <c r="H40" s="131"/>
      <c r="I40" s="131"/>
      <c r="J40" s="134"/>
      <c r="K40" s="108"/>
      <c r="L40" s="108"/>
      <c r="M40" s="108"/>
      <c r="N40" s="60"/>
    </row>
    <row r="41" spans="1:14" s="1" customFormat="1">
      <c r="A41" s="95" cm="1">
        <f t="array" ref="A41">IF(COUNTA(B41:B41)=0,"",ROWS($A$10:A41)-SUM(--(B$10:B41="")))</f>
        <v>26</v>
      </c>
      <c r="B41" s="99" t="s">
        <v>24</v>
      </c>
      <c r="C41" s="42" t="s">
        <v>148</v>
      </c>
      <c r="D41" s="57">
        <v>9246</v>
      </c>
      <c r="E41" s="41" t="s">
        <v>26</v>
      </c>
      <c r="F41" s="96" t="s">
        <v>3</v>
      </c>
      <c r="G41" s="100" t="s">
        <v>149</v>
      </c>
      <c r="H41" s="96" t="s">
        <v>150</v>
      </c>
      <c r="I41" s="96" t="s">
        <v>82</v>
      </c>
      <c r="J41" s="101"/>
      <c r="K41" s="41" t="s">
        <v>84</v>
      </c>
      <c r="L41" s="74">
        <v>0</v>
      </c>
      <c r="M41" s="74" t="s">
        <v>77</v>
      </c>
      <c r="N41" s="76"/>
    </row>
    <row r="42" spans="1:14" s="1" customFormat="1">
      <c r="A42" s="95" cm="1">
        <f t="array" ref="A42">IF(COUNTA(B42:B42)=0,"",ROWS($A$10:A42)-SUM(--(B$10:B42="")))</f>
        <v>27</v>
      </c>
      <c r="B42" s="65" t="s">
        <v>24</v>
      </c>
      <c r="C42" s="52" t="s">
        <v>151</v>
      </c>
      <c r="D42" s="25">
        <v>5459</v>
      </c>
      <c r="E42" s="25" t="s">
        <v>26</v>
      </c>
      <c r="F42" s="52" t="s">
        <v>3</v>
      </c>
      <c r="G42" s="26" t="s">
        <v>152</v>
      </c>
      <c r="H42" s="30" t="s">
        <v>153</v>
      </c>
      <c r="I42" s="35" t="s">
        <v>154</v>
      </c>
      <c r="J42" s="25" t="s">
        <v>155</v>
      </c>
      <c r="K42" s="29" t="s">
        <v>76</v>
      </c>
      <c r="L42" s="29">
        <v>300</v>
      </c>
      <c r="M42" s="29" t="s">
        <v>77</v>
      </c>
      <c r="N42" s="16"/>
    </row>
    <row r="43" spans="1:14" s="1" customFormat="1">
      <c r="A43" s="95" cm="1">
        <f t="array" ref="A43">IF(COUNTA(B43:B43)=0,"",ROWS($A$10:A43)-SUM(--(B$10:B43="")))</f>
        <v>28</v>
      </c>
      <c r="B43" s="77" t="s">
        <v>24</v>
      </c>
      <c r="C43" s="42" t="s">
        <v>156</v>
      </c>
      <c r="D43" s="57">
        <v>2604</v>
      </c>
      <c r="E43" s="41" t="s">
        <v>26</v>
      </c>
      <c r="F43" s="96" t="s">
        <v>3</v>
      </c>
      <c r="G43" s="100" t="s">
        <v>157</v>
      </c>
      <c r="H43" s="96" t="s">
        <v>158</v>
      </c>
      <c r="I43" s="96" t="s">
        <v>159</v>
      </c>
      <c r="J43" s="41" t="s">
        <v>160</v>
      </c>
      <c r="K43" s="56" t="s">
        <v>84</v>
      </c>
      <c r="L43" s="74">
        <v>0</v>
      </c>
      <c r="M43" s="42" t="s">
        <v>77</v>
      </c>
      <c r="N43" s="16"/>
    </row>
    <row r="44" spans="1:14" s="1" customFormat="1">
      <c r="A44" s="95" cm="1">
        <f t="array" ref="A44">IF(COUNTA(B44:B44)=0,"",ROWS($A$10:A44)-SUM(--(B$10:B44="")))</f>
        <v>29</v>
      </c>
      <c r="B44" s="58" t="s">
        <v>24</v>
      </c>
      <c r="C44" s="16" t="s">
        <v>161</v>
      </c>
      <c r="D44" s="16">
        <v>9749</v>
      </c>
      <c r="E44" s="48" t="s">
        <v>26</v>
      </c>
      <c r="F44" s="48" t="s">
        <v>3</v>
      </c>
      <c r="G44" s="67" t="s">
        <v>162</v>
      </c>
      <c r="H44" s="69" t="s">
        <v>163</v>
      </c>
      <c r="I44" s="69" t="s">
        <v>41</v>
      </c>
      <c r="J44" s="48" t="s">
        <v>75</v>
      </c>
      <c r="K44" s="48" t="s">
        <v>76</v>
      </c>
      <c r="L44" s="48">
        <v>300</v>
      </c>
      <c r="M44" s="49" t="s">
        <v>77</v>
      </c>
      <c r="N44" s="16"/>
    </row>
    <row r="45" spans="1:14">
      <c r="A45" s="95" cm="1">
        <f t="array" ref="A45">IF(COUNTA(B45:B45)=0,"",ROWS($A$10:A45)-SUM(--(B$10:B45="")))</f>
        <v>30</v>
      </c>
      <c r="B45" s="58" t="s">
        <v>24</v>
      </c>
      <c r="C45" s="16" t="s">
        <v>164</v>
      </c>
      <c r="D45" s="22">
        <v>9573</v>
      </c>
      <c r="E45" s="2" t="s">
        <v>26</v>
      </c>
      <c r="F45" s="16" t="s">
        <v>3</v>
      </c>
      <c r="G45" s="23" t="s">
        <v>165</v>
      </c>
      <c r="H45" s="15" t="s">
        <v>166</v>
      </c>
      <c r="I45" s="15" t="s">
        <v>167</v>
      </c>
      <c r="J45" s="22" t="s">
        <v>168</v>
      </c>
      <c r="K45" s="16" t="s">
        <v>76</v>
      </c>
      <c r="L45" s="16">
        <v>300</v>
      </c>
      <c r="M45" s="16" t="s">
        <v>77</v>
      </c>
      <c r="N45" s="16"/>
    </row>
    <row r="46" spans="1:14">
      <c r="A46" s="95" cm="1">
        <f t="array" ref="A46">IF(COUNTA(B46:B46)=0,"",ROWS($A$10:A46)-SUM(--(B$10:B46="")))</f>
        <v>31</v>
      </c>
      <c r="B46" s="58" t="s">
        <v>24</v>
      </c>
      <c r="C46" s="16" t="s">
        <v>169</v>
      </c>
      <c r="D46" s="22">
        <v>7778</v>
      </c>
      <c r="E46" s="2" t="s">
        <v>26</v>
      </c>
      <c r="F46" s="16" t="s">
        <v>3</v>
      </c>
      <c r="G46" s="23" t="s">
        <v>170</v>
      </c>
      <c r="H46" s="15" t="s">
        <v>171</v>
      </c>
      <c r="I46" s="15" t="s">
        <v>172</v>
      </c>
      <c r="J46" s="22"/>
      <c r="K46" s="53" t="s">
        <v>76</v>
      </c>
      <c r="L46" s="16">
        <v>300</v>
      </c>
      <c r="M46" s="16" t="s">
        <v>77</v>
      </c>
      <c r="N46" s="16"/>
    </row>
    <row r="47" spans="1:14">
      <c r="A47" s="95" cm="1">
        <f t="array" ref="A47">IF(COUNTA(B47:B47)=0,"",ROWS($A$10:A47)-SUM(--(B$10:B47="")))</f>
        <v>32</v>
      </c>
      <c r="B47" s="58" t="s">
        <v>24</v>
      </c>
      <c r="C47" s="16" t="s">
        <v>173</v>
      </c>
      <c r="D47" s="2">
        <v>4615</v>
      </c>
      <c r="E47" s="2" t="s">
        <v>26</v>
      </c>
      <c r="F47" s="16" t="s">
        <v>3</v>
      </c>
      <c r="G47" s="18" t="s">
        <v>174</v>
      </c>
      <c r="H47" s="46" t="s">
        <v>175</v>
      </c>
      <c r="I47" s="46" t="s">
        <v>176</v>
      </c>
      <c r="J47" s="2"/>
      <c r="K47" s="16" t="s">
        <v>76</v>
      </c>
      <c r="L47" s="16">
        <v>300</v>
      </c>
      <c r="M47" s="43" t="s">
        <v>77</v>
      </c>
      <c r="N47" s="16"/>
    </row>
    <row r="48" spans="1:14">
      <c r="A48" s="95" cm="1">
        <f t="array" ref="A48">IF(COUNTA(B48:B48)=0,"",ROWS($A$10:A48)-SUM(--(B$10:B48="")))</f>
        <v>33</v>
      </c>
      <c r="B48" s="64" t="s">
        <v>24</v>
      </c>
      <c r="C48" s="42" t="s">
        <v>177</v>
      </c>
      <c r="D48" s="41">
        <v>1854</v>
      </c>
      <c r="E48" s="41" t="s">
        <v>26</v>
      </c>
      <c r="F48" s="42" t="s">
        <v>3</v>
      </c>
      <c r="G48" s="82" t="s">
        <v>178</v>
      </c>
      <c r="H48" s="42" t="s">
        <v>179</v>
      </c>
      <c r="I48" s="42" t="s">
        <v>180</v>
      </c>
      <c r="J48" s="41" t="s">
        <v>181</v>
      </c>
      <c r="K48" s="56" t="s">
        <v>84</v>
      </c>
      <c r="L48" s="42">
        <v>0</v>
      </c>
      <c r="M48" s="42" t="s">
        <v>77</v>
      </c>
      <c r="N48" s="16"/>
    </row>
    <row r="49" spans="1:14">
      <c r="A49" s="104" cm="1">
        <f t="array" ref="A49">IF(COUNTA(B49:B49)=0,"",ROWS($A$10:A49)-SUM(--(B$10:B49="")))</f>
        <v>34</v>
      </c>
      <c r="B49" s="125" t="s">
        <v>24</v>
      </c>
      <c r="C49" s="16" t="s">
        <v>182</v>
      </c>
      <c r="D49" s="22">
        <v>1126</v>
      </c>
      <c r="E49" s="2" t="s">
        <v>38</v>
      </c>
      <c r="F49" s="113" t="s">
        <v>3</v>
      </c>
      <c r="G49" s="109" t="s">
        <v>183</v>
      </c>
      <c r="H49" s="111" t="s">
        <v>184</v>
      </c>
      <c r="I49" s="111" t="s">
        <v>185</v>
      </c>
      <c r="J49" s="107" t="s">
        <v>186</v>
      </c>
      <c r="K49" s="132" t="s">
        <v>76</v>
      </c>
      <c r="L49" s="113">
        <v>600</v>
      </c>
      <c r="M49" s="107" t="s">
        <v>77</v>
      </c>
      <c r="N49" s="107"/>
    </row>
    <row r="50" spans="1:14">
      <c r="A50" s="104"/>
      <c r="B50" s="125"/>
      <c r="C50" s="16" t="s">
        <v>187</v>
      </c>
      <c r="D50" s="22" t="s">
        <v>188</v>
      </c>
      <c r="E50" s="2" t="s">
        <v>26</v>
      </c>
      <c r="F50" s="114"/>
      <c r="G50" s="110"/>
      <c r="H50" s="112"/>
      <c r="I50" s="112"/>
      <c r="J50" s="108"/>
      <c r="K50" s="134"/>
      <c r="L50" s="114"/>
      <c r="M50" s="108"/>
      <c r="N50" s="108"/>
    </row>
    <row r="51" spans="1:14">
      <c r="A51" s="95" cm="1">
        <f t="array" ref="A51">IF(COUNTA(B51:B51)=0,"",ROWS($A$10:A51)-SUM(--(B$10:B51="")))</f>
        <v>35</v>
      </c>
      <c r="B51" s="58" t="s">
        <v>24</v>
      </c>
      <c r="C51" s="16" t="s">
        <v>189</v>
      </c>
      <c r="D51" s="2">
        <v>6573</v>
      </c>
      <c r="E51" s="2" t="s">
        <v>26</v>
      </c>
      <c r="F51" s="16" t="s">
        <v>3</v>
      </c>
      <c r="G51" s="66" t="s">
        <v>190</v>
      </c>
      <c r="H51" s="15" t="s">
        <v>191</v>
      </c>
      <c r="I51" s="15" t="s">
        <v>41</v>
      </c>
      <c r="J51" s="2" t="s">
        <v>192</v>
      </c>
      <c r="K51" s="53" t="s">
        <v>76</v>
      </c>
      <c r="L51" s="16">
        <v>300</v>
      </c>
      <c r="M51" s="16" t="s">
        <v>77</v>
      </c>
      <c r="N51" s="16"/>
    </row>
    <row r="52" spans="1:14">
      <c r="A52" s="95" cm="1">
        <f t="array" ref="A52">IF(COUNTA(B52:B52)=0,"",ROWS($A$10:A52)-SUM(--(B$10:B52="")))</f>
        <v>36</v>
      </c>
      <c r="B52" s="64" t="s">
        <v>24</v>
      </c>
      <c r="C52" s="42" t="s">
        <v>193</v>
      </c>
      <c r="D52" s="57">
        <v>8996</v>
      </c>
      <c r="E52" s="41" t="s">
        <v>26</v>
      </c>
      <c r="F52" s="42" t="s">
        <v>3</v>
      </c>
      <c r="G52" s="54" t="s">
        <v>194</v>
      </c>
      <c r="H52" s="42" t="s">
        <v>195</v>
      </c>
      <c r="I52" s="42" t="s">
        <v>41</v>
      </c>
      <c r="J52" s="41" t="s">
        <v>196</v>
      </c>
      <c r="K52" s="56" t="s">
        <v>84</v>
      </c>
      <c r="L52" s="42">
        <v>0</v>
      </c>
      <c r="M52" s="42" t="s">
        <v>77</v>
      </c>
      <c r="N52" s="16"/>
    </row>
    <row r="53" spans="1:14">
      <c r="A53" s="95" cm="1">
        <f t="array" ref="A53">IF(COUNTA(B53:B53)=0,"",ROWS($A$10:A53)-SUM(--(B$10:B53="")))</f>
        <v>37</v>
      </c>
      <c r="B53" s="64" t="s">
        <v>24</v>
      </c>
      <c r="C53" s="42" t="s">
        <v>197</v>
      </c>
      <c r="D53" s="41">
        <v>9209</v>
      </c>
      <c r="E53" s="41" t="s">
        <v>26</v>
      </c>
      <c r="F53" s="42" t="s">
        <v>3</v>
      </c>
      <c r="G53" s="54" t="s">
        <v>198</v>
      </c>
      <c r="H53" s="42" t="s">
        <v>199</v>
      </c>
      <c r="I53" s="42" t="s">
        <v>200</v>
      </c>
      <c r="J53" s="41" t="s">
        <v>201</v>
      </c>
      <c r="K53" s="56" t="s">
        <v>84</v>
      </c>
      <c r="L53" s="42">
        <v>0</v>
      </c>
      <c r="M53" s="42" t="s">
        <v>77</v>
      </c>
      <c r="N53" s="16"/>
    </row>
    <row r="54" spans="1:14">
      <c r="A54" s="95" cm="1">
        <f t="array" ref="A54">IF(COUNTA(B54:B54)=0,"",ROWS($A$10:A54)-SUM(--(B$10:B54="")))</f>
        <v>38</v>
      </c>
      <c r="B54" s="59" t="s">
        <v>24</v>
      </c>
      <c r="C54" s="29" t="s">
        <v>202</v>
      </c>
      <c r="D54" s="17">
        <v>5308</v>
      </c>
      <c r="E54" s="17" t="s">
        <v>26</v>
      </c>
      <c r="F54" s="29" t="s">
        <v>3</v>
      </c>
      <c r="G54" s="36" t="s">
        <v>203</v>
      </c>
      <c r="H54" s="15" t="s">
        <v>204</v>
      </c>
      <c r="I54" s="15" t="s">
        <v>205</v>
      </c>
      <c r="J54" s="17" t="s">
        <v>206</v>
      </c>
      <c r="K54" s="55" t="s">
        <v>76</v>
      </c>
      <c r="L54" s="29">
        <v>300</v>
      </c>
      <c r="M54" s="29" t="s">
        <v>77</v>
      </c>
      <c r="N54" s="16"/>
    </row>
    <row r="55" spans="1:14">
      <c r="A55" s="95" cm="1">
        <f t="array" ref="A55">IF(COUNTA(B55:B55)=0,"",ROWS($A$10:A55)-SUM(--(B$10:B55="")))</f>
        <v>39</v>
      </c>
      <c r="B55" s="59" t="s">
        <v>24</v>
      </c>
      <c r="C55" s="29" t="s">
        <v>207</v>
      </c>
      <c r="D55" s="17">
        <v>5929</v>
      </c>
      <c r="E55" s="17" t="s">
        <v>26</v>
      </c>
      <c r="F55" s="29" t="s">
        <v>3</v>
      </c>
      <c r="G55" s="28" t="s">
        <v>208</v>
      </c>
      <c r="H55" s="15" t="s">
        <v>209</v>
      </c>
      <c r="I55" s="15" t="s">
        <v>210</v>
      </c>
      <c r="J55" s="17" t="s">
        <v>211</v>
      </c>
      <c r="K55" s="55" t="s">
        <v>76</v>
      </c>
      <c r="L55" s="29">
        <v>300</v>
      </c>
      <c r="M55" s="29" t="s">
        <v>77</v>
      </c>
      <c r="N55" s="16"/>
    </row>
    <row r="56" spans="1:14">
      <c r="A56" s="95" cm="1">
        <f t="array" ref="A56">IF(COUNTA(B56:B56)=0,"",ROWS($A$10:A56)-SUM(--(B$10:B56="")))</f>
        <v>40</v>
      </c>
      <c r="B56" s="58" t="s">
        <v>24</v>
      </c>
      <c r="C56" s="16" t="s">
        <v>212</v>
      </c>
      <c r="D56" s="2">
        <v>7035</v>
      </c>
      <c r="E56" s="2" t="s">
        <v>26</v>
      </c>
      <c r="F56" s="16" t="s">
        <v>3</v>
      </c>
      <c r="G56" s="18" t="s">
        <v>213</v>
      </c>
      <c r="H56" s="15" t="s">
        <v>214</v>
      </c>
      <c r="I56" s="15" t="s">
        <v>215</v>
      </c>
      <c r="J56" s="2"/>
      <c r="K56" s="53" t="s">
        <v>76</v>
      </c>
      <c r="L56" s="16">
        <v>300</v>
      </c>
      <c r="M56" s="16" t="s">
        <v>77</v>
      </c>
      <c r="N56" s="16"/>
    </row>
    <row r="57" spans="1:14">
      <c r="A57" s="95" cm="1">
        <f t="array" ref="A57">IF(COUNTA(B57:B57)=0,"",ROWS($A$10:A57)-SUM(--(B$10:B57="")))</f>
        <v>41</v>
      </c>
      <c r="B57" s="58" t="s">
        <v>24</v>
      </c>
      <c r="C57" s="16" t="s">
        <v>216</v>
      </c>
      <c r="D57" s="22">
        <v>6708</v>
      </c>
      <c r="E57" s="2" t="s">
        <v>26</v>
      </c>
      <c r="F57" s="39" t="s">
        <v>3</v>
      </c>
      <c r="G57" s="20" t="s">
        <v>217</v>
      </c>
      <c r="H57" s="46" t="s">
        <v>218</v>
      </c>
      <c r="I57" s="46" t="s">
        <v>41</v>
      </c>
      <c r="K57" s="2" t="s">
        <v>76</v>
      </c>
      <c r="L57" s="43">
        <v>300</v>
      </c>
      <c r="M57" s="43" t="s">
        <v>77</v>
      </c>
      <c r="N57" s="16"/>
    </row>
    <row r="58" spans="1:14">
      <c r="A58" s="95" cm="1">
        <f t="array" ref="A58">IF(COUNTA(B58:B58)=0,"",ROWS($A$10:A58)-SUM(--(B$10:B58="")))</f>
        <v>42</v>
      </c>
      <c r="B58" s="72" t="s">
        <v>24</v>
      </c>
      <c r="C58" s="16" t="s">
        <v>219</v>
      </c>
      <c r="D58" s="16">
        <v>3629</v>
      </c>
      <c r="E58" s="2" t="s">
        <v>26</v>
      </c>
      <c r="F58" s="39" t="s">
        <v>3</v>
      </c>
      <c r="G58" s="18" t="s">
        <v>220</v>
      </c>
      <c r="H58" s="15" t="s">
        <v>221</v>
      </c>
      <c r="I58" s="15" t="s">
        <v>103</v>
      </c>
      <c r="J58" s="2" t="s">
        <v>222</v>
      </c>
      <c r="K58" s="16" t="s">
        <v>76</v>
      </c>
      <c r="L58" s="2">
        <v>300</v>
      </c>
      <c r="M58" s="43" t="s">
        <v>77</v>
      </c>
      <c r="N58" s="16"/>
    </row>
    <row r="59" spans="1:14" s="62" customFormat="1">
      <c r="A59" s="95" cm="1">
        <f t="array" ref="A59">IF(COUNTA(B59:B59)=0,"",ROWS($A$10:A59)-SUM(--(B$10:B59="")))</f>
        <v>43</v>
      </c>
      <c r="B59" s="77" t="s">
        <v>24</v>
      </c>
      <c r="C59" s="42" t="s">
        <v>223</v>
      </c>
      <c r="D59" s="57" t="s">
        <v>224</v>
      </c>
      <c r="E59" s="41" t="s">
        <v>26</v>
      </c>
      <c r="F59" s="42" t="s">
        <v>3</v>
      </c>
      <c r="G59" s="82" t="s">
        <v>225</v>
      </c>
      <c r="H59" s="42" t="s">
        <v>226</v>
      </c>
      <c r="I59" s="42" t="s">
        <v>227</v>
      </c>
      <c r="J59" s="41"/>
      <c r="K59" s="42" t="s">
        <v>84</v>
      </c>
      <c r="L59" s="42">
        <v>0</v>
      </c>
      <c r="M59" s="74" t="s">
        <v>77</v>
      </c>
      <c r="N59" s="43"/>
    </row>
    <row r="60" spans="1:14" ht="14.45" customHeight="1">
      <c r="A60" s="95" cm="1">
        <f t="array" ref="A60">IF(COUNTA(B60:B60)=0,"",ROWS($A$10:A60)-SUM(--(B$10:B60="")))</f>
        <v>44</v>
      </c>
      <c r="B60" s="86" t="s">
        <v>24</v>
      </c>
      <c r="C60" s="75" t="s">
        <v>228</v>
      </c>
      <c r="D60" s="87">
        <v>7778</v>
      </c>
      <c r="E60" s="87" t="s">
        <v>38</v>
      </c>
      <c r="F60" s="75" t="s">
        <v>3</v>
      </c>
      <c r="G60" s="88" t="s">
        <v>229</v>
      </c>
      <c r="H60" s="75" t="s">
        <v>230</v>
      </c>
      <c r="I60" s="75" t="s">
        <v>103</v>
      </c>
      <c r="J60" s="75" t="s">
        <v>231</v>
      </c>
      <c r="K60" s="89" t="s">
        <v>84</v>
      </c>
      <c r="L60" s="75">
        <v>0</v>
      </c>
      <c r="M60" s="85" t="s">
        <v>77</v>
      </c>
      <c r="N60" s="60"/>
    </row>
    <row r="61" spans="1:14">
      <c r="A61" s="95" cm="1">
        <f t="array" ref="A61">IF(COUNTA(B61:B61)=0,"",ROWS($A$10:A61)-SUM(--(B$10:B61="")))</f>
        <v>45</v>
      </c>
      <c r="B61" s="58" t="s">
        <v>24</v>
      </c>
      <c r="C61" s="16" t="s">
        <v>232</v>
      </c>
      <c r="D61" s="22">
        <v>6942</v>
      </c>
      <c r="E61" s="2" t="s">
        <v>26</v>
      </c>
      <c r="F61" s="39" t="s">
        <v>3</v>
      </c>
      <c r="G61" s="23" t="s">
        <v>233</v>
      </c>
      <c r="H61" s="46" t="s">
        <v>234</v>
      </c>
      <c r="I61" s="46" t="s">
        <v>235</v>
      </c>
      <c r="J61" s="2"/>
      <c r="K61" s="2" t="s">
        <v>76</v>
      </c>
      <c r="L61" s="43">
        <v>300</v>
      </c>
      <c r="M61" s="43" t="s">
        <v>77</v>
      </c>
      <c r="N61" s="16"/>
    </row>
    <row r="62" spans="1:14">
      <c r="A62" s="95" cm="1">
        <f t="array" ref="A62">IF(COUNTA(B62:B62)=0,"",ROWS($A$10:A62)-SUM(--(B$10:B62="")))</f>
        <v>46</v>
      </c>
      <c r="B62" s="58" t="s">
        <v>24</v>
      </c>
      <c r="C62" s="16" t="s">
        <v>236</v>
      </c>
      <c r="D62" s="22">
        <v>3560</v>
      </c>
      <c r="E62" s="2" t="s">
        <v>26</v>
      </c>
      <c r="F62" s="39" t="s">
        <v>3</v>
      </c>
      <c r="G62" s="20" t="s">
        <v>237</v>
      </c>
      <c r="H62" s="46" t="s">
        <v>238</v>
      </c>
      <c r="I62" s="46" t="s">
        <v>41</v>
      </c>
      <c r="K62" s="2" t="s">
        <v>76</v>
      </c>
      <c r="L62" s="43">
        <v>300</v>
      </c>
      <c r="M62" s="43" t="s">
        <v>77</v>
      </c>
      <c r="N62" s="16"/>
    </row>
    <row r="63" spans="1:14">
      <c r="A63" s="104" cm="1">
        <f t="array" ref="A63">IF(COUNTA(B63:B63)=0,"",ROWS($A$10:A63)-SUM(--(B$10:B63="")))</f>
        <v>47</v>
      </c>
      <c r="B63" s="115" t="s">
        <v>24</v>
      </c>
      <c r="C63" s="42" t="s">
        <v>239</v>
      </c>
      <c r="D63" s="41">
        <v>6481</v>
      </c>
      <c r="E63" s="41" t="s">
        <v>38</v>
      </c>
      <c r="F63" s="117" t="s">
        <v>3</v>
      </c>
      <c r="G63" s="119" t="s">
        <v>240</v>
      </c>
      <c r="H63" s="117" t="s">
        <v>241</v>
      </c>
      <c r="I63" s="117" t="s">
        <v>242</v>
      </c>
      <c r="J63" s="154" t="s">
        <v>243</v>
      </c>
      <c r="K63" s="156" t="s">
        <v>84</v>
      </c>
      <c r="L63" s="121">
        <v>0</v>
      </c>
      <c r="M63" s="121" t="s">
        <v>77</v>
      </c>
      <c r="N63" s="16"/>
    </row>
    <row r="64" spans="1:14">
      <c r="A64" s="104"/>
      <c r="B64" s="116"/>
      <c r="C64" s="42" t="s">
        <v>244</v>
      </c>
      <c r="D64" s="41">
        <v>5074</v>
      </c>
      <c r="E64" s="41" t="s">
        <v>26</v>
      </c>
      <c r="F64" s="118"/>
      <c r="G64" s="120"/>
      <c r="H64" s="118"/>
      <c r="I64" s="118"/>
      <c r="J64" s="155"/>
      <c r="K64" s="157"/>
      <c r="L64" s="122"/>
      <c r="M64" s="122"/>
      <c r="N64" s="16"/>
    </row>
    <row r="65" spans="1:14" ht="14.1" customHeight="1">
      <c r="A65" s="95" cm="1">
        <f t="array" ref="A65">IF(COUNTA(B65:B65)=0,"",ROWS($A$10:A65)-SUM(--(B$10:B65="")))</f>
        <v>48</v>
      </c>
      <c r="B65" s="77" t="s">
        <v>24</v>
      </c>
      <c r="C65" s="42" t="s">
        <v>245</v>
      </c>
      <c r="D65" s="41">
        <v>2731</v>
      </c>
      <c r="E65" s="41" t="s">
        <v>26</v>
      </c>
      <c r="F65" s="96" t="s">
        <v>3</v>
      </c>
      <c r="G65" s="82" t="s">
        <v>246</v>
      </c>
      <c r="H65" s="42" t="s">
        <v>247</v>
      </c>
      <c r="I65" s="42" t="s">
        <v>248</v>
      </c>
      <c r="J65" s="57"/>
      <c r="K65" s="56" t="s">
        <v>84</v>
      </c>
      <c r="L65" s="74">
        <v>0</v>
      </c>
      <c r="M65" s="74" t="s">
        <v>77</v>
      </c>
      <c r="N65" s="16"/>
    </row>
    <row r="66" spans="1:14">
      <c r="A66" s="104" cm="1">
        <f t="array" ref="A66">IF(COUNTA(B66:B66)=0,"",ROWS($A$10:A66)-SUM(--(B$10:B66="")))</f>
        <v>49</v>
      </c>
      <c r="B66" s="158" t="s">
        <v>24</v>
      </c>
      <c r="C66" s="16" t="s">
        <v>249</v>
      </c>
      <c r="D66" s="2">
        <v>4190</v>
      </c>
      <c r="E66" s="2" t="s">
        <v>38</v>
      </c>
      <c r="F66" s="107" t="s">
        <v>3</v>
      </c>
      <c r="G66" s="109" t="s">
        <v>250</v>
      </c>
      <c r="H66" s="111" t="s">
        <v>251</v>
      </c>
      <c r="I66" s="111" t="s">
        <v>252</v>
      </c>
      <c r="J66" s="151" t="s">
        <v>253</v>
      </c>
      <c r="K66" s="132" t="s">
        <v>76</v>
      </c>
      <c r="L66" s="113">
        <v>600</v>
      </c>
      <c r="M66" s="113" t="s">
        <v>77</v>
      </c>
      <c r="N66" s="107"/>
    </row>
    <row r="67" spans="1:14">
      <c r="A67" s="104"/>
      <c r="B67" s="158"/>
      <c r="C67" s="16" t="s">
        <v>254</v>
      </c>
      <c r="D67" s="2">
        <v>1397</v>
      </c>
      <c r="E67" s="2" t="s">
        <v>26</v>
      </c>
      <c r="F67" s="124"/>
      <c r="G67" s="128"/>
      <c r="H67" s="150"/>
      <c r="I67" s="150"/>
      <c r="J67" s="152"/>
      <c r="K67" s="133"/>
      <c r="L67" s="140"/>
      <c r="M67" s="140"/>
      <c r="N67" s="124"/>
    </row>
    <row r="68" spans="1:14">
      <c r="A68" s="104"/>
      <c r="B68" s="158"/>
      <c r="C68" s="16" t="s">
        <v>255</v>
      </c>
      <c r="D68" s="2">
        <v>3692</v>
      </c>
      <c r="E68" s="2" t="s">
        <v>26</v>
      </c>
      <c r="F68" s="108"/>
      <c r="G68" s="110"/>
      <c r="H68" s="112"/>
      <c r="I68" s="112"/>
      <c r="J68" s="153"/>
      <c r="K68" s="134"/>
      <c r="L68" s="114"/>
      <c r="M68" s="114"/>
      <c r="N68" s="108"/>
    </row>
    <row r="69" spans="1:14">
      <c r="A69" s="95" cm="1">
        <f t="array" ref="A69">IF(COUNTA(B69:B69)=0,"",ROWS($A$10:A69)-SUM(--(B$10:B69="")))</f>
        <v>50</v>
      </c>
      <c r="B69" s="58" t="s">
        <v>24</v>
      </c>
      <c r="C69" s="16" t="s">
        <v>256</v>
      </c>
      <c r="D69" s="22">
        <v>5114</v>
      </c>
      <c r="E69" s="2" t="s">
        <v>26</v>
      </c>
      <c r="F69" s="39" t="s">
        <v>3</v>
      </c>
      <c r="G69" s="20" t="s">
        <v>257</v>
      </c>
      <c r="H69" s="46" t="s">
        <v>258</v>
      </c>
      <c r="I69" s="46" t="s">
        <v>259</v>
      </c>
      <c r="K69" s="2" t="s">
        <v>76</v>
      </c>
      <c r="L69" s="43">
        <v>300</v>
      </c>
      <c r="M69" s="43" t="s">
        <v>77</v>
      </c>
    </row>
    <row r="70" spans="1:14">
      <c r="A70" s="95" cm="1">
        <f t="array" ref="A70">IF(COUNTA(B70:B70)=0,"",ROWS($A$10:A70)-SUM(--(B$10:B70="")))</f>
        <v>51</v>
      </c>
      <c r="B70" s="64" t="s">
        <v>24</v>
      </c>
      <c r="C70" s="42" t="s">
        <v>260</v>
      </c>
      <c r="D70" s="57">
        <v>5950</v>
      </c>
      <c r="E70" s="41" t="s">
        <v>26</v>
      </c>
      <c r="F70" s="96" t="s">
        <v>3</v>
      </c>
      <c r="G70" s="100" t="s">
        <v>261</v>
      </c>
      <c r="H70" s="96" t="s">
        <v>262</v>
      </c>
      <c r="I70" s="96" t="s">
        <v>263</v>
      </c>
      <c r="J70" s="41"/>
      <c r="K70" s="41" t="s">
        <v>84</v>
      </c>
      <c r="L70" s="74">
        <v>0</v>
      </c>
      <c r="M70" s="74" t="s">
        <v>77</v>
      </c>
    </row>
    <row r="71" spans="1:14">
      <c r="A71" s="95" cm="1">
        <f t="array" ref="A71">IF(COUNTA(B71:B71)=0,"",ROWS($A$10:A71)-SUM(--(B$10:B71="")))</f>
        <v>52</v>
      </c>
      <c r="B71" s="64" t="s">
        <v>24</v>
      </c>
      <c r="C71" s="42" t="s">
        <v>264</v>
      </c>
      <c r="D71" s="57">
        <v>6131</v>
      </c>
      <c r="E71" s="41" t="s">
        <v>26</v>
      </c>
      <c r="F71" s="96" t="s">
        <v>3</v>
      </c>
      <c r="G71" s="100" t="s">
        <v>265</v>
      </c>
      <c r="H71" s="96" t="s">
        <v>266</v>
      </c>
      <c r="I71" s="96" t="s">
        <v>51</v>
      </c>
      <c r="J71" s="41"/>
      <c r="K71" s="41" t="s">
        <v>84</v>
      </c>
      <c r="L71" s="74">
        <v>0</v>
      </c>
      <c r="M71" s="74" t="s">
        <v>77</v>
      </c>
    </row>
    <row r="72" spans="1:14">
      <c r="A72" s="95" cm="1">
        <f t="array" ref="A72">IF(COUNTA(B72:B72)=0,"",ROWS($A$10:A72)-SUM(--(B$10:B72="")))</f>
        <v>53</v>
      </c>
      <c r="B72" s="3" t="s">
        <v>24</v>
      </c>
      <c r="C72" s="16" t="s">
        <v>267</v>
      </c>
      <c r="D72" s="22" t="s">
        <v>268</v>
      </c>
      <c r="E72" s="2" t="s">
        <v>26</v>
      </c>
      <c r="F72" s="2" t="s">
        <v>3</v>
      </c>
      <c r="G72" s="63" t="s">
        <v>269</v>
      </c>
      <c r="H72" s="4" t="s">
        <v>98</v>
      </c>
      <c r="I72" s="4" t="s">
        <v>270</v>
      </c>
      <c r="J72" s="2"/>
      <c r="K72" s="2" t="s">
        <v>76</v>
      </c>
      <c r="L72" s="43">
        <v>300</v>
      </c>
      <c r="M72" s="43" t="s">
        <v>77</v>
      </c>
    </row>
    <row r="73" spans="1:14">
      <c r="A73" s="104" cm="1">
        <f t="array" ref="A73">IF(COUNTA(B73:B73)=0,"",ROWS($A$10:A73)-SUM(--(B$10:B73="")))</f>
        <v>54</v>
      </c>
      <c r="B73" s="105" t="s">
        <v>24</v>
      </c>
      <c r="C73" s="16" t="s">
        <v>271</v>
      </c>
      <c r="D73" s="2">
        <v>7841</v>
      </c>
      <c r="E73" s="2" t="s">
        <v>38</v>
      </c>
      <c r="F73" s="107" t="s">
        <v>3</v>
      </c>
      <c r="G73" s="109" t="s">
        <v>272</v>
      </c>
      <c r="H73" s="111" t="s">
        <v>273</v>
      </c>
      <c r="I73" s="111" t="s">
        <v>274</v>
      </c>
      <c r="J73" s="2"/>
      <c r="K73" s="107" t="s">
        <v>76</v>
      </c>
      <c r="L73" s="113">
        <v>600</v>
      </c>
      <c r="M73" s="113" t="s">
        <v>77</v>
      </c>
    </row>
    <row r="74" spans="1:14">
      <c r="A74" s="104"/>
      <c r="B74" s="106"/>
      <c r="C74" s="16" t="s">
        <v>275</v>
      </c>
      <c r="D74" s="2">
        <v>8951</v>
      </c>
      <c r="E74" s="2" t="s">
        <v>26</v>
      </c>
      <c r="F74" s="108"/>
      <c r="G74" s="110"/>
      <c r="H74" s="112"/>
      <c r="I74" s="112"/>
      <c r="J74" s="2"/>
      <c r="K74" s="108"/>
      <c r="L74" s="114"/>
      <c r="M74" s="114"/>
    </row>
    <row r="75" spans="1:14">
      <c r="A75" s="95" cm="1">
        <f t="array" ref="A75">IF(COUNTA(B75:B75)=0,"",ROWS($A$10:A75)-SUM(--(B$10:B75="")))</f>
        <v>55</v>
      </c>
      <c r="B75" s="3" t="s">
        <v>24</v>
      </c>
      <c r="C75" s="16" t="s">
        <v>276</v>
      </c>
      <c r="D75" s="22">
        <v>4227</v>
      </c>
      <c r="E75" s="2" t="s">
        <v>26</v>
      </c>
      <c r="F75" s="2" t="s">
        <v>3</v>
      </c>
      <c r="G75" s="63" t="s">
        <v>277</v>
      </c>
      <c r="H75" s="4" t="s">
        <v>278</v>
      </c>
      <c r="I75" s="4" t="s">
        <v>279</v>
      </c>
      <c r="J75" s="2"/>
      <c r="K75" s="2" t="s">
        <v>76</v>
      </c>
      <c r="L75" s="43">
        <v>300</v>
      </c>
      <c r="M75" s="43" t="s">
        <v>77</v>
      </c>
    </row>
    <row r="76" spans="1:14">
      <c r="A76" s="95"/>
      <c r="C76" s="16"/>
      <c r="D76" s="22"/>
      <c r="E76" s="2"/>
      <c r="F76" s="39"/>
      <c r="G76" s="20"/>
      <c r="H76" s="39"/>
      <c r="I76" s="39"/>
      <c r="K76" s="2"/>
      <c r="L76" s="43"/>
      <c r="M76" s="43"/>
    </row>
    <row r="77" spans="1:14">
      <c r="A77" s="93"/>
      <c r="B77" s="94"/>
      <c r="C77" s="16"/>
      <c r="D77" s="2"/>
      <c r="E77" s="2"/>
      <c r="F77" s="39"/>
      <c r="G77" s="18"/>
      <c r="H77" s="39"/>
      <c r="I77" s="39"/>
      <c r="J77" s="2"/>
      <c r="K77" s="16"/>
      <c r="L77" s="16"/>
      <c r="M77" s="43"/>
    </row>
    <row r="78" spans="1:14">
      <c r="A78" s="2"/>
      <c r="C78" s="14"/>
      <c r="D78" s="22"/>
      <c r="E78" s="17"/>
      <c r="F78" s="38"/>
      <c r="G78" s="23"/>
      <c r="H78" s="39"/>
      <c r="I78" s="39"/>
      <c r="J78" s="2"/>
      <c r="K78" s="45" t="s">
        <v>280</v>
      </c>
      <c r="L78" s="44">
        <f>SUM(L21:L77)</f>
        <v>9900</v>
      </c>
      <c r="M78" s="40" t="s">
        <v>77</v>
      </c>
    </row>
    <row r="79" spans="1:14">
      <c r="A79" s="2"/>
      <c r="C79" s="14"/>
      <c r="D79" s="22"/>
      <c r="E79" s="2"/>
      <c r="F79" s="16"/>
      <c r="G79" s="23"/>
      <c r="H79" s="29"/>
      <c r="I79" s="16"/>
      <c r="J79" s="2"/>
      <c r="K79" s="24"/>
      <c r="L79" s="1"/>
      <c r="M79" s="1"/>
    </row>
    <row r="80" spans="1:14" ht="15.6">
      <c r="C80" s="19" t="s">
        <v>281</v>
      </c>
      <c r="K80" s="21"/>
      <c r="L80" s="1"/>
      <c r="M80" s="1"/>
    </row>
    <row r="81" spans="2:3">
      <c r="B81" s="3">
        <v>1</v>
      </c>
      <c r="C81" s="5" t="s">
        <v>282</v>
      </c>
    </row>
    <row r="82" spans="2:3">
      <c r="B82" s="3">
        <v>2</v>
      </c>
      <c r="C82" s="5" t="s">
        <v>283</v>
      </c>
    </row>
    <row r="83" spans="2:3">
      <c r="B83" s="3">
        <v>3</v>
      </c>
      <c r="C83" s="5" t="s">
        <v>284</v>
      </c>
    </row>
    <row r="84" spans="2:3">
      <c r="B84" s="3">
        <v>4</v>
      </c>
      <c r="C84" s="5" t="s">
        <v>285</v>
      </c>
    </row>
    <row r="85" spans="2:3">
      <c r="B85" s="3">
        <v>5</v>
      </c>
      <c r="C85" s="5" t="s">
        <v>286</v>
      </c>
    </row>
    <row r="86" spans="2:3">
      <c r="B86" s="3">
        <v>6</v>
      </c>
      <c r="C86" s="5" t="s">
        <v>287</v>
      </c>
    </row>
    <row r="87" spans="2:3">
      <c r="B87" s="3">
        <v>7</v>
      </c>
      <c r="C87" s="5" t="s">
        <v>288</v>
      </c>
    </row>
    <row r="88" spans="2:3">
      <c r="B88" s="3">
        <v>8</v>
      </c>
      <c r="C88" s="5" t="s">
        <v>289</v>
      </c>
    </row>
    <row r="89" spans="2:3">
      <c r="B89" s="3">
        <v>9</v>
      </c>
      <c r="C89" s="5" t="s">
        <v>290</v>
      </c>
    </row>
    <row r="90" spans="2:3">
      <c r="B90" s="3">
        <v>10</v>
      </c>
      <c r="C90" s="5" t="s">
        <v>291</v>
      </c>
    </row>
    <row r="99" spans="7:10">
      <c r="G99" s="28"/>
      <c r="H99" s="29"/>
      <c r="I99" s="29"/>
      <c r="J99" s="17"/>
    </row>
  </sheetData>
  <mergeCells count="96">
    <mergeCell ref="A66:A68"/>
    <mergeCell ref="B66:B68"/>
    <mergeCell ref="F66:F68"/>
    <mergeCell ref="G66:G68"/>
    <mergeCell ref="F27:F28"/>
    <mergeCell ref="A32:A33"/>
    <mergeCell ref="B32:B33"/>
    <mergeCell ref="A30:A31"/>
    <mergeCell ref="B30:B31"/>
    <mergeCell ref="E30:E31"/>
    <mergeCell ref="F32:F33"/>
    <mergeCell ref="G32:G33"/>
    <mergeCell ref="G49:G50"/>
    <mergeCell ref="F30:F31"/>
    <mergeCell ref="G30:G31"/>
    <mergeCell ref="H66:H68"/>
    <mergeCell ref="I66:I68"/>
    <mergeCell ref="J66:J68"/>
    <mergeCell ref="K66:K68"/>
    <mergeCell ref="K32:K33"/>
    <mergeCell ref="K49:K50"/>
    <mergeCell ref="J49:J50"/>
    <mergeCell ref="H32:H33"/>
    <mergeCell ref="I32:I33"/>
    <mergeCell ref="J32:J33"/>
    <mergeCell ref="H49:H50"/>
    <mergeCell ref="I49:I50"/>
    <mergeCell ref="J63:J64"/>
    <mergeCell ref="K63:K64"/>
    <mergeCell ref="A7:B7"/>
    <mergeCell ref="F7:G7"/>
    <mergeCell ref="I27:I28"/>
    <mergeCell ref="H27:H28"/>
    <mergeCell ref="A12:A13"/>
    <mergeCell ref="B12:B13"/>
    <mergeCell ref="F12:F13"/>
    <mergeCell ref="G12:G13"/>
    <mergeCell ref="H12:H13"/>
    <mergeCell ref="I12:I13"/>
    <mergeCell ref="A27:A28"/>
    <mergeCell ref="B27:B28"/>
    <mergeCell ref="N27:N28"/>
    <mergeCell ref="N66:N68"/>
    <mergeCell ref="N49:N50"/>
    <mergeCell ref="N32:N33"/>
    <mergeCell ref="L49:L50"/>
    <mergeCell ref="L66:L68"/>
    <mergeCell ref="M66:M68"/>
    <mergeCell ref="M49:M50"/>
    <mergeCell ref="M63:M64"/>
    <mergeCell ref="L30:L31"/>
    <mergeCell ref="M30:M31"/>
    <mergeCell ref="L27:L28"/>
    <mergeCell ref="M27:M28"/>
    <mergeCell ref="M32:M33"/>
    <mergeCell ref="L32:L33"/>
    <mergeCell ref="M38:M40"/>
    <mergeCell ref="K12:K13"/>
    <mergeCell ref="L12:L13"/>
    <mergeCell ref="G38:G40"/>
    <mergeCell ref="H38:H40"/>
    <mergeCell ref="I38:I40"/>
    <mergeCell ref="J38:J40"/>
    <mergeCell ref="K38:K40"/>
    <mergeCell ref="L38:L40"/>
    <mergeCell ref="G27:G28"/>
    <mergeCell ref="K30:K31"/>
    <mergeCell ref="K27:K28"/>
    <mergeCell ref="H30:H31"/>
    <mergeCell ref="I30:I31"/>
    <mergeCell ref="J30:J31"/>
    <mergeCell ref="J27:J28"/>
    <mergeCell ref="J12:J13"/>
    <mergeCell ref="L63:L64"/>
    <mergeCell ref="A38:A40"/>
    <mergeCell ref="B38:B40"/>
    <mergeCell ref="F38:F40"/>
    <mergeCell ref="A49:A50"/>
    <mergeCell ref="B49:B50"/>
    <mergeCell ref="F49:F50"/>
    <mergeCell ref="M12:M13"/>
    <mergeCell ref="A73:A74"/>
    <mergeCell ref="B73:B74"/>
    <mergeCell ref="F73:F74"/>
    <mergeCell ref="G73:G74"/>
    <mergeCell ref="H73:H74"/>
    <mergeCell ref="I73:I74"/>
    <mergeCell ref="L73:L74"/>
    <mergeCell ref="M73:M74"/>
    <mergeCell ref="K73:K74"/>
    <mergeCell ref="A63:A64"/>
    <mergeCell ref="B63:B64"/>
    <mergeCell ref="F63:F64"/>
    <mergeCell ref="G63:G64"/>
    <mergeCell ref="H63:H64"/>
    <mergeCell ref="I63:I64"/>
  </mergeCells>
  <phoneticPr fontId="7" type="noConversion"/>
  <conditionalFormatting sqref="C12">
    <cfRule type="duplicateValues" dxfId="12" priority="5"/>
  </conditionalFormatting>
  <conditionalFormatting sqref="C41:C1048576 C24:C38 C1:C11 C13:C22">
    <cfRule type="duplicateValues" dxfId="11" priority="22"/>
  </conditionalFormatting>
  <conditionalFormatting sqref="C77 C69:D71 C57:D57 C14:D14 C62:D62 C41:D41 C76:D76">
    <cfRule type="duplicateValues" dxfId="10" priority="9"/>
  </conditionalFormatting>
  <conditionalFormatting sqref="C11:D11">
    <cfRule type="duplicateValues" dxfId="9" priority="10"/>
  </conditionalFormatting>
  <conditionalFormatting sqref="C12:D12">
    <cfRule type="duplicateValues" dxfId="8" priority="4"/>
    <cfRule type="duplicateValues" dxfId="7" priority="6"/>
  </conditionalFormatting>
  <conditionalFormatting sqref="C61:D61">
    <cfRule type="duplicateValues" dxfId="6" priority="3"/>
  </conditionalFormatting>
  <conditionalFormatting sqref="C72:D74">
    <cfRule type="duplicateValues" dxfId="5" priority="7"/>
  </conditionalFormatting>
  <conditionalFormatting sqref="C75:D75">
    <cfRule type="duplicateValues" dxfId="4" priority="1"/>
    <cfRule type="duplicateValues" dxfId="3" priority="2"/>
  </conditionalFormatting>
  <conditionalFormatting sqref="C76:D1048576 C1:D11 C13:D74">
    <cfRule type="duplicateValues" dxfId="2" priority="8"/>
  </conditionalFormatting>
  <conditionalFormatting sqref="C77:D1048576 C24:D28 C1:D10 C42:D43 C35:D38 C45:D56 C15:D20 C13:D13 C22:D22 C30:D33 C59:D60 C63:D68">
    <cfRule type="duplicateValues" dxfId="1" priority="46"/>
  </conditionalFormatting>
  <conditionalFormatting sqref="D23">
    <cfRule type="duplicateValues" dxfId="0" priority="11"/>
  </conditionalFormatting>
  <hyperlinks>
    <hyperlink ref="G10" r:id="rId1" xr:uid="{DCA0142C-4B7B-46D0-88DA-2B6D52D7BEBF}"/>
    <hyperlink ref="G15" r:id="rId2" xr:uid="{8BFB7AE6-55E1-48D1-A642-C5161EFC7426}"/>
    <hyperlink ref="G18" r:id="rId3" xr:uid="{81451293-DEF8-4ED4-9EFC-38E22748D40C}"/>
    <hyperlink ref="G25" r:id="rId4" xr:uid="{EFEC9EEE-60D1-48E3-8077-3EAC00068327}"/>
    <hyperlink ref="G26" r:id="rId5" xr:uid="{8280834A-5026-404F-A200-8F20EFF4526D}"/>
    <hyperlink ref="G27" r:id="rId6" xr:uid="{5E921886-5185-4BEA-AC71-C8B77DE789EA}"/>
    <hyperlink ref="G30" r:id="rId7" xr:uid="{97C54233-B0FC-4EC1-99AD-F5C76A7D3573}"/>
    <hyperlink ref="G32" r:id="rId8" xr:uid="{4BDB3F71-A253-4E98-9249-70C2CDF784B1}"/>
    <hyperlink ref="G36" r:id="rId9" xr:uid="{173AE257-1851-4B0C-9B18-E36BE2D1FC00}"/>
    <hyperlink ref="G38" r:id="rId10" xr:uid="{890810DD-FCE5-4918-96A8-6F88F5A86C0B}"/>
    <hyperlink ref="G45" r:id="rId11" xr:uid="{9A9DF2A7-ED07-4859-B5FD-8EB542162190}"/>
    <hyperlink ref="G46" r:id="rId12" xr:uid="{EE1B9DAA-1383-4288-A2D5-4B53BBF92D1E}"/>
    <hyperlink ref="G42" r:id="rId13" xr:uid="{DDB4DF4E-6E97-460F-AD99-C13A9295F4E5}"/>
    <hyperlink ref="G48" r:id="rId14" xr:uid="{68C0667F-4427-47C1-8650-093F1BBEC398}"/>
    <hyperlink ref="G49" r:id="rId15" xr:uid="{6D405F05-425C-474D-A29A-E7A64CDAB3B6}"/>
    <hyperlink ref="G22" r:id="rId16" xr:uid="{DA489BCF-7130-4201-A386-81D0B7B68279}"/>
    <hyperlink ref="G55" r:id="rId17" xr:uid="{A09F5257-7011-4CFC-B1A4-9E18CA9CA8EA}"/>
    <hyperlink ref="G56" r:id="rId18" xr:uid="{14CDD2FD-FB2C-47F3-9CC5-5E12811A328F}"/>
    <hyperlink ref="G60" r:id="rId19" xr:uid="{078C3FB3-F8A4-4906-A678-F87232B5E1A5}"/>
    <hyperlink ref="G63" r:id="rId20" xr:uid="{F2E321EC-131F-4130-A8EC-F729C753B5D6}"/>
    <hyperlink ref="G65" r:id="rId21" xr:uid="{40E8BEEB-B746-4883-AA2A-DCE7740B9A5A}"/>
    <hyperlink ref="G53" r:id="rId22" xr:uid="{87A85BE0-C8F4-4047-9BBE-FD4AB6E5750D}"/>
    <hyperlink ref="G66" r:id="rId23" xr:uid="{3441617E-4E7E-420E-A952-AAC9E779DA35}"/>
    <hyperlink ref="G51" r:id="rId24" xr:uid="{712CC192-9D83-40C1-9BF0-79D54A23A4F2}"/>
    <hyperlink ref="G35" r:id="rId25" xr:uid="{FF0A2AA2-44BE-4837-8535-7DF8DDF3D6CA}"/>
    <hyperlink ref="G20" r:id="rId26" xr:uid="{4EB26A42-2905-450B-A6C0-83F3B2C000E0}"/>
    <hyperlink ref="G54" r:id="rId27" xr:uid="{707B338C-7715-47FC-9BC7-DF1B6849AD6A}"/>
    <hyperlink ref="G43" r:id="rId28" xr:uid="{97D86797-04E2-413A-8F14-F67D741C3AD8}"/>
    <hyperlink ref="G37" r:id="rId29" xr:uid="{2E0A6048-F89C-4A90-9624-8E6B55AD58E3}"/>
    <hyperlink ref="G24" r:id="rId30" xr:uid="{0851A1B6-9D17-47BD-AD1C-937189A4E254}"/>
    <hyperlink ref="G34" r:id="rId31" xr:uid="{DC8C8D59-E4C2-443C-81C3-435890441380}"/>
    <hyperlink ref="G19" r:id="rId32" xr:uid="{11E1FB47-EF76-4287-B9F8-7C8FFAF89ABA}"/>
    <hyperlink ref="G52" r:id="rId33" xr:uid="{4C90C8FD-800F-408D-87BB-E29D8BBB97BE}"/>
    <hyperlink ref="G21" r:id="rId34" xr:uid="{D6408266-873A-408F-BEAE-41CE59FDC524}"/>
    <hyperlink ref="G58" r:id="rId35" display="faraz.shaikh@alifconsulting.com" xr:uid="{BECA86BF-AC33-465B-B215-F18DD923522C}"/>
    <hyperlink ref="G29" r:id="rId36" xr:uid="{CBA25E01-E09A-4E32-9011-9D4D5B327330}"/>
    <hyperlink ref="G23" r:id="rId37" xr:uid="{7C174EC6-EDB9-40D0-BAD3-A4F4EAD3CD1D}"/>
    <hyperlink ref="G11" r:id="rId38" xr:uid="{B16FB175-2D7F-4B56-976C-91DF0B760D5B}"/>
    <hyperlink ref="G44" r:id="rId39" xr:uid="{F9AC9094-EB23-41E5-AAAD-D75CC4663F8E}"/>
    <hyperlink ref="G47" r:id="rId40" xr:uid="{37CE22DD-D55D-46DF-9D42-8EE437A888BD}"/>
    <hyperlink ref="G59" r:id="rId41" xr:uid="{6C8F673A-2EFE-4B40-B68C-44EB3AAC8601}"/>
    <hyperlink ref="G57" r:id="rId42" xr:uid="{0DF15F23-F8EB-42F1-8DD5-B80E0EBF7AB0}"/>
    <hyperlink ref="G62" r:id="rId43" xr:uid="{3E1BED4C-EA11-404B-B211-A613965E3D28}"/>
    <hyperlink ref="G69" r:id="rId44" xr:uid="{7A0EF892-1103-41B3-AE4A-6C33E038B8B2}"/>
    <hyperlink ref="G70" r:id="rId45" xr:uid="{2F1E4BCC-16C3-4BAE-AC14-9A894FF1DD6B}"/>
    <hyperlink ref="G71" r:id="rId46" xr:uid="{A5E1729F-BB62-4ADE-91D4-CAD19FD332D2}"/>
    <hyperlink ref="G41" r:id="rId47" xr:uid="{4C1B8176-C1BA-4CFB-AD4A-A0875CCEE765}"/>
    <hyperlink ref="G72" r:id="rId48" xr:uid="{77563074-9A95-4EA0-8367-BE4E4A9CBEC7}"/>
    <hyperlink ref="G73" r:id="rId49" xr:uid="{AAC55D90-E4DD-4647-8564-3D86D6685D60}"/>
    <hyperlink ref="G12" r:id="rId50" xr:uid="{79E60F27-4B0B-405C-A132-ED7B75A9F143}"/>
    <hyperlink ref="G14" r:id="rId51" xr:uid="{EF9F6FCA-0B00-4B70-9B69-37FCCE0AEE56}"/>
    <hyperlink ref="G61" r:id="rId52" xr:uid="{DD524D83-7659-461D-9273-D14C78FF5D89}"/>
    <hyperlink ref="G16" r:id="rId53" xr:uid="{25155760-3F93-41C3-9320-652B8EA076E3}"/>
    <hyperlink ref="G17" r:id="rId54" xr:uid="{F2D02FDD-6719-4677-9E66-72B42A2D037D}"/>
    <hyperlink ref="G75" r:id="rId55" xr:uid="{FD382E64-F0B7-4737-B688-FBE2D25C0E39}"/>
  </hyperlinks>
  <pageMargins left="0.7" right="0.7" top="0.75" bottom="0.75" header="0.3" footer="0.3"/>
  <pageSetup orientation="portrait" r:id="rId5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2023-08-14T11:06:05Z</dcterms:created>
  <dcterms:modified xsi:type="dcterms:W3CDTF">2026-10-09T14:08:16Z</dcterms:modified>
  <cp:category/>
  <cp:contentStatus/>
</cp:coreProperties>
</file>